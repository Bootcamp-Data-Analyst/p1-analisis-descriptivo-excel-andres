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slicers/slicer1.xml" ContentType="application/vnd.ms-excel.slicer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Bootcamp DataAnalytics Andrés Pérez\Proyecto analisis excel\P1 analisis descriptivos con excel\p1-analisis-descriptivo-excel-andres\"/>
    </mc:Choice>
  </mc:AlternateContent>
  <xr:revisionPtr revIDLastSave="0" documentId="13_ncr:20001_{B44E5814-7FB4-40BF-9CE7-5ADB1E127159}" xr6:coauthVersionLast="47" xr6:coauthVersionMax="47" xr10:uidLastSave="{00000000-0000-0000-0000-000000000000}"/>
  <bookViews>
    <workbookView xWindow="-108" yWindow="-108" windowWidth="23256" windowHeight="12456" tabRatio="734" firstSheet="3" activeTab="5" xr2:uid="{227637C1-828F-4262-9B13-B31F3842B02B}"/>
  </bookViews>
  <sheets>
    <sheet name="bestsellers with categories" sheetId="2" r:id="rId1"/>
    <sheet name="Análisis descriptivo Price" sheetId="5" r:id="rId2"/>
    <sheet name="Fiction vs Non Fiction" sheetId="4" r:id="rId3"/>
    <sheet name="Tablas dinámicas" sheetId="6" r:id="rId4"/>
    <sheet name="Tablas dinámicas insights" sheetId="9" r:id="rId5"/>
    <sheet name="Dashboard" sheetId="8" r:id="rId6"/>
  </sheets>
  <definedNames>
    <definedName name="CantidadReviews">'Tablas dinámicas insights'!$B$5</definedName>
    <definedName name="DatosExternos_1" localSheetId="0" hidden="1">'bestsellers with categories'!$A$1:$G$551</definedName>
    <definedName name="Media">'Tablas dinámicas insights'!$C$5</definedName>
    <definedName name="SegmentaciónDeDatos_Year">#N/A</definedName>
  </definedNames>
  <calcPr calcId="191029"/>
  <pivotCaches>
    <pivotCache cacheId="2" r:id="rId7"/>
    <pivotCache cacheId="3" r:id="rId8"/>
  </pivotCaches>
  <fileRecoveryPr repairLoad="1"/>
  <extLst>
    <ext xmlns:x14="http://schemas.microsoft.com/office/spreadsheetml/2009/9/main" uri="{BBE1A952-AA13-448e-AADC-164F8A28A991}">
      <x14:slicerCaches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551" i="2" l="1"/>
  <c r="H551" i="2"/>
  <c r="I550" i="2"/>
  <c r="H550" i="2"/>
  <c r="I549" i="2"/>
  <c r="H549" i="2"/>
  <c r="I548" i="2"/>
  <c r="H548" i="2"/>
  <c r="I547" i="2"/>
  <c r="H547" i="2"/>
  <c r="I546" i="2"/>
  <c r="H546" i="2"/>
  <c r="I545" i="2"/>
  <c r="H545" i="2"/>
  <c r="I544" i="2"/>
  <c r="H544" i="2"/>
  <c r="I543" i="2"/>
  <c r="H543" i="2"/>
  <c r="I542" i="2"/>
  <c r="H542" i="2"/>
  <c r="I541" i="2"/>
  <c r="H541" i="2"/>
  <c r="I540" i="2"/>
  <c r="H540" i="2"/>
  <c r="I539" i="2"/>
  <c r="H539" i="2"/>
  <c r="I538" i="2"/>
  <c r="H538" i="2"/>
  <c r="I537" i="2"/>
  <c r="H537" i="2"/>
  <c r="I536" i="2"/>
  <c r="H536" i="2"/>
  <c r="I535" i="2"/>
  <c r="H535" i="2"/>
  <c r="I534" i="2"/>
  <c r="H534" i="2"/>
  <c r="I533" i="2"/>
  <c r="H533" i="2"/>
  <c r="I532" i="2"/>
  <c r="H532" i="2"/>
  <c r="I531" i="2"/>
  <c r="H531" i="2"/>
  <c r="I530" i="2"/>
  <c r="H530" i="2"/>
  <c r="I529" i="2"/>
  <c r="H529" i="2"/>
  <c r="I528" i="2"/>
  <c r="H528" i="2"/>
  <c r="I527" i="2"/>
  <c r="H527" i="2"/>
  <c r="I526" i="2"/>
  <c r="H526" i="2"/>
  <c r="I525" i="2"/>
  <c r="H525" i="2"/>
  <c r="I524" i="2"/>
  <c r="H524" i="2"/>
  <c r="I523" i="2"/>
  <c r="H523" i="2"/>
  <c r="I522" i="2"/>
  <c r="H522" i="2"/>
  <c r="I521" i="2"/>
  <c r="H521" i="2"/>
  <c r="I520" i="2"/>
  <c r="H520" i="2"/>
  <c r="I519" i="2"/>
  <c r="H519" i="2"/>
  <c r="I518" i="2"/>
  <c r="H518" i="2"/>
  <c r="I517" i="2"/>
  <c r="H517" i="2"/>
  <c r="I516" i="2"/>
  <c r="H516" i="2"/>
  <c r="I515" i="2"/>
  <c r="H515" i="2"/>
  <c r="I514" i="2"/>
  <c r="H514" i="2"/>
  <c r="I513" i="2"/>
  <c r="H513" i="2"/>
  <c r="I512" i="2"/>
  <c r="H512" i="2"/>
  <c r="I511" i="2"/>
  <c r="H511" i="2"/>
  <c r="I510" i="2"/>
  <c r="H510" i="2"/>
  <c r="I509" i="2"/>
  <c r="H509" i="2"/>
  <c r="I508" i="2"/>
  <c r="H508" i="2"/>
  <c r="I507" i="2"/>
  <c r="H507" i="2"/>
  <c r="I506" i="2"/>
  <c r="H506" i="2"/>
  <c r="I505" i="2"/>
  <c r="H505" i="2"/>
  <c r="I504" i="2"/>
  <c r="H504" i="2"/>
  <c r="I503" i="2"/>
  <c r="H503" i="2"/>
  <c r="I502" i="2"/>
  <c r="H502" i="2"/>
  <c r="I501" i="2"/>
  <c r="H501" i="2"/>
  <c r="I500" i="2"/>
  <c r="H500" i="2"/>
  <c r="I499" i="2"/>
  <c r="H499" i="2"/>
  <c r="I498" i="2"/>
  <c r="H498" i="2"/>
  <c r="I497" i="2"/>
  <c r="H497" i="2"/>
  <c r="I496" i="2"/>
  <c r="H496" i="2"/>
  <c r="I495" i="2"/>
  <c r="H495" i="2"/>
  <c r="I494" i="2"/>
  <c r="H494" i="2"/>
  <c r="I493" i="2"/>
  <c r="H493" i="2"/>
  <c r="I492" i="2"/>
  <c r="H492" i="2"/>
  <c r="I491" i="2"/>
  <c r="H491" i="2"/>
  <c r="I490" i="2"/>
  <c r="H490" i="2"/>
  <c r="I489" i="2"/>
  <c r="H489" i="2"/>
  <c r="I488" i="2"/>
  <c r="H488" i="2"/>
  <c r="I487" i="2"/>
  <c r="H487" i="2"/>
  <c r="I486" i="2"/>
  <c r="H486" i="2"/>
  <c r="I485" i="2"/>
  <c r="H485" i="2"/>
  <c r="I484" i="2"/>
  <c r="H484" i="2"/>
  <c r="I483" i="2"/>
  <c r="H483" i="2"/>
  <c r="I482" i="2"/>
  <c r="H482" i="2"/>
  <c r="I481" i="2"/>
  <c r="H481" i="2"/>
  <c r="I480" i="2"/>
  <c r="H480" i="2"/>
  <c r="I479" i="2"/>
  <c r="H479" i="2"/>
  <c r="I478" i="2"/>
  <c r="H478" i="2"/>
  <c r="I477" i="2"/>
  <c r="H477" i="2"/>
  <c r="I476" i="2"/>
  <c r="H476" i="2"/>
  <c r="I475" i="2"/>
  <c r="H475" i="2"/>
  <c r="I474" i="2"/>
  <c r="H474" i="2"/>
  <c r="I473" i="2"/>
  <c r="H473" i="2"/>
  <c r="I472" i="2"/>
  <c r="H472" i="2"/>
  <c r="I471" i="2"/>
  <c r="H471" i="2"/>
  <c r="I470" i="2"/>
  <c r="H470" i="2"/>
  <c r="I469" i="2"/>
  <c r="H469" i="2"/>
  <c r="I468" i="2"/>
  <c r="H468" i="2"/>
  <c r="I467" i="2"/>
  <c r="H467" i="2"/>
  <c r="I466" i="2"/>
  <c r="H466" i="2"/>
  <c r="I465" i="2"/>
  <c r="H465" i="2"/>
  <c r="I464" i="2"/>
  <c r="H464" i="2"/>
  <c r="I463" i="2"/>
  <c r="H463" i="2"/>
  <c r="I462" i="2"/>
  <c r="H462" i="2"/>
  <c r="I461" i="2"/>
  <c r="H461" i="2"/>
  <c r="I460" i="2"/>
  <c r="H460" i="2"/>
  <c r="I459" i="2"/>
  <c r="H459" i="2"/>
  <c r="I458" i="2"/>
  <c r="H458" i="2"/>
  <c r="I457" i="2"/>
  <c r="H457" i="2"/>
  <c r="I456" i="2"/>
  <c r="H456" i="2"/>
  <c r="I455" i="2"/>
  <c r="H455" i="2"/>
  <c r="I454" i="2"/>
  <c r="H454" i="2"/>
  <c r="I453" i="2"/>
  <c r="H453" i="2"/>
  <c r="I452" i="2"/>
  <c r="H452" i="2"/>
  <c r="I451" i="2"/>
  <c r="H451" i="2"/>
  <c r="I450" i="2"/>
  <c r="H450" i="2"/>
  <c r="I449" i="2"/>
  <c r="H449" i="2"/>
  <c r="I448" i="2"/>
  <c r="H448" i="2"/>
  <c r="I447" i="2"/>
  <c r="H447" i="2"/>
  <c r="I446" i="2"/>
  <c r="H446" i="2"/>
  <c r="I445" i="2"/>
  <c r="H445" i="2"/>
  <c r="I444" i="2"/>
  <c r="H444" i="2"/>
  <c r="I443" i="2"/>
  <c r="H443" i="2"/>
  <c r="I442" i="2"/>
  <c r="H442" i="2"/>
  <c r="I441" i="2"/>
  <c r="H441" i="2"/>
  <c r="I440" i="2"/>
  <c r="H440" i="2"/>
  <c r="I439" i="2"/>
  <c r="H439" i="2"/>
  <c r="I438" i="2"/>
  <c r="H438" i="2"/>
  <c r="I437" i="2"/>
  <c r="H437" i="2"/>
  <c r="I436" i="2"/>
  <c r="H436" i="2"/>
  <c r="I435" i="2"/>
  <c r="H435" i="2"/>
  <c r="I434" i="2"/>
  <c r="H434" i="2"/>
  <c r="I433" i="2"/>
  <c r="H433" i="2"/>
  <c r="I432" i="2"/>
  <c r="H432" i="2"/>
  <c r="I431" i="2"/>
  <c r="H431" i="2"/>
  <c r="I430" i="2"/>
  <c r="H430" i="2"/>
  <c r="I429" i="2"/>
  <c r="H429" i="2"/>
  <c r="I428" i="2"/>
  <c r="H428" i="2"/>
  <c r="I427" i="2"/>
  <c r="H427" i="2"/>
  <c r="I426" i="2"/>
  <c r="H426" i="2"/>
  <c r="I425" i="2"/>
  <c r="H425" i="2"/>
  <c r="I424" i="2"/>
  <c r="H424" i="2"/>
  <c r="I423" i="2"/>
  <c r="H423" i="2"/>
  <c r="I422" i="2"/>
  <c r="H422" i="2"/>
  <c r="I421" i="2"/>
  <c r="H421" i="2"/>
  <c r="I420" i="2"/>
  <c r="H420" i="2"/>
  <c r="I419" i="2"/>
  <c r="H419" i="2"/>
  <c r="I418" i="2"/>
  <c r="H418" i="2"/>
  <c r="I417" i="2"/>
  <c r="H417" i="2"/>
  <c r="I416" i="2"/>
  <c r="H416" i="2"/>
  <c r="I415" i="2"/>
  <c r="H415" i="2"/>
  <c r="I414" i="2"/>
  <c r="H414" i="2"/>
  <c r="I413" i="2"/>
  <c r="H413" i="2"/>
  <c r="I412" i="2"/>
  <c r="H412" i="2"/>
  <c r="I411" i="2"/>
  <c r="H411" i="2"/>
  <c r="I410" i="2"/>
  <c r="H410" i="2"/>
  <c r="I409" i="2"/>
  <c r="H409" i="2"/>
  <c r="I408" i="2"/>
  <c r="H408" i="2"/>
  <c r="I407" i="2"/>
  <c r="H407" i="2"/>
  <c r="I406" i="2"/>
  <c r="H406" i="2"/>
  <c r="I405" i="2"/>
  <c r="H405" i="2"/>
  <c r="I404" i="2"/>
  <c r="H404" i="2"/>
  <c r="I403" i="2"/>
  <c r="H403" i="2"/>
  <c r="I402" i="2"/>
  <c r="H402" i="2"/>
  <c r="I401" i="2"/>
  <c r="H401" i="2"/>
  <c r="I400" i="2"/>
  <c r="H400" i="2"/>
  <c r="I399" i="2"/>
  <c r="H399" i="2"/>
  <c r="I398" i="2"/>
  <c r="H398" i="2"/>
  <c r="I397" i="2"/>
  <c r="H397" i="2"/>
  <c r="I396" i="2"/>
  <c r="H396" i="2"/>
  <c r="I395" i="2"/>
  <c r="H395" i="2"/>
  <c r="I394" i="2"/>
  <c r="H394" i="2"/>
  <c r="I393" i="2"/>
  <c r="H393" i="2"/>
  <c r="I392" i="2"/>
  <c r="H392" i="2"/>
  <c r="I391" i="2"/>
  <c r="H391" i="2"/>
  <c r="I390" i="2"/>
  <c r="H390" i="2"/>
  <c r="I389" i="2"/>
  <c r="H389" i="2"/>
  <c r="I388" i="2"/>
  <c r="H388" i="2"/>
  <c r="I387" i="2"/>
  <c r="H387" i="2"/>
  <c r="I386" i="2"/>
  <c r="H386" i="2"/>
  <c r="I385" i="2"/>
  <c r="H385" i="2"/>
  <c r="I384" i="2"/>
  <c r="H384" i="2"/>
  <c r="I383" i="2"/>
  <c r="H383" i="2"/>
  <c r="I382" i="2"/>
  <c r="H382" i="2"/>
  <c r="I381" i="2"/>
  <c r="H381" i="2"/>
  <c r="I380" i="2"/>
  <c r="H380" i="2"/>
  <c r="I379" i="2"/>
  <c r="H379" i="2"/>
  <c r="I378" i="2"/>
  <c r="H378" i="2"/>
  <c r="I377" i="2"/>
  <c r="H377" i="2"/>
  <c r="I376" i="2"/>
  <c r="H376" i="2"/>
  <c r="I375" i="2"/>
  <c r="H375" i="2"/>
  <c r="I374" i="2"/>
  <c r="H374" i="2"/>
  <c r="I373" i="2"/>
  <c r="H373" i="2"/>
  <c r="I372" i="2"/>
  <c r="H372" i="2"/>
  <c r="I371" i="2"/>
  <c r="H371" i="2"/>
  <c r="I370" i="2"/>
  <c r="H370" i="2"/>
  <c r="I369" i="2"/>
  <c r="H369" i="2"/>
  <c r="I368" i="2"/>
  <c r="H368" i="2"/>
  <c r="I367" i="2"/>
  <c r="H367" i="2"/>
  <c r="I366" i="2"/>
  <c r="H366" i="2"/>
  <c r="I365" i="2"/>
  <c r="H365" i="2"/>
  <c r="I364" i="2"/>
  <c r="H364" i="2"/>
  <c r="I363" i="2"/>
  <c r="H363" i="2"/>
  <c r="I362" i="2"/>
  <c r="H362" i="2"/>
  <c r="I361" i="2"/>
  <c r="H361" i="2"/>
  <c r="I360" i="2"/>
  <c r="H360" i="2"/>
  <c r="I359" i="2"/>
  <c r="H359" i="2"/>
  <c r="I358" i="2"/>
  <c r="H358" i="2"/>
  <c r="I357" i="2"/>
  <c r="H357" i="2"/>
  <c r="I356" i="2"/>
  <c r="H356" i="2"/>
  <c r="I355" i="2"/>
  <c r="H355" i="2"/>
  <c r="I354" i="2"/>
  <c r="H354" i="2"/>
  <c r="I353" i="2"/>
  <c r="H353" i="2"/>
  <c r="I352" i="2"/>
  <c r="H352" i="2"/>
  <c r="I351" i="2"/>
  <c r="H351" i="2"/>
  <c r="I350" i="2"/>
  <c r="H350" i="2"/>
  <c r="I349" i="2"/>
  <c r="H349" i="2"/>
  <c r="I348" i="2"/>
  <c r="H348" i="2"/>
  <c r="I347" i="2"/>
  <c r="H347" i="2"/>
  <c r="I346" i="2"/>
  <c r="H346" i="2"/>
  <c r="I345" i="2"/>
  <c r="H345" i="2"/>
  <c r="I344" i="2"/>
  <c r="H344" i="2"/>
  <c r="I343" i="2"/>
  <c r="H343" i="2"/>
  <c r="I342" i="2"/>
  <c r="H342" i="2"/>
  <c r="I341" i="2"/>
  <c r="H341" i="2"/>
  <c r="I340" i="2"/>
  <c r="H340" i="2"/>
  <c r="I339" i="2"/>
  <c r="H339" i="2"/>
  <c r="I338" i="2"/>
  <c r="H338" i="2"/>
  <c r="I337" i="2"/>
  <c r="H337" i="2"/>
  <c r="I336" i="2"/>
  <c r="H336" i="2"/>
  <c r="I335" i="2"/>
  <c r="H335" i="2"/>
  <c r="I334" i="2"/>
  <c r="H334" i="2"/>
  <c r="I333" i="2"/>
  <c r="H333" i="2"/>
  <c r="I332" i="2"/>
  <c r="H332" i="2"/>
  <c r="I331" i="2"/>
  <c r="H331" i="2"/>
  <c r="I330" i="2"/>
  <c r="H330" i="2"/>
  <c r="I329" i="2"/>
  <c r="H329" i="2"/>
  <c r="I328" i="2"/>
  <c r="H328" i="2"/>
  <c r="I327" i="2"/>
  <c r="H327" i="2"/>
  <c r="I326" i="2"/>
  <c r="H326" i="2"/>
  <c r="I325" i="2"/>
  <c r="H325" i="2"/>
  <c r="I324" i="2"/>
  <c r="H324" i="2"/>
  <c r="I323" i="2"/>
  <c r="H323" i="2"/>
  <c r="I322" i="2"/>
  <c r="H322" i="2"/>
  <c r="I321" i="2"/>
  <c r="H321" i="2"/>
  <c r="I320" i="2"/>
  <c r="H320" i="2"/>
  <c r="I319" i="2"/>
  <c r="H319" i="2"/>
  <c r="I318" i="2"/>
  <c r="H318" i="2"/>
  <c r="I317" i="2"/>
  <c r="H317" i="2"/>
  <c r="I316" i="2"/>
  <c r="H316" i="2"/>
  <c r="I315" i="2"/>
  <c r="H315" i="2"/>
  <c r="I314" i="2"/>
  <c r="H314" i="2"/>
  <c r="I313" i="2"/>
  <c r="H313" i="2"/>
  <c r="I312" i="2"/>
  <c r="H312" i="2"/>
  <c r="I311" i="2"/>
  <c r="H311" i="2"/>
  <c r="I310" i="2"/>
  <c r="H310" i="2"/>
  <c r="I309" i="2"/>
  <c r="H309" i="2"/>
  <c r="I308" i="2"/>
  <c r="H308" i="2"/>
  <c r="I307" i="2"/>
  <c r="H307" i="2"/>
  <c r="I306" i="2"/>
  <c r="H306" i="2"/>
  <c r="I305" i="2"/>
  <c r="H305" i="2"/>
  <c r="I304" i="2"/>
  <c r="H304" i="2"/>
  <c r="I303" i="2"/>
  <c r="H303" i="2"/>
  <c r="I302" i="2"/>
  <c r="H302" i="2"/>
  <c r="I301" i="2"/>
  <c r="H301" i="2"/>
  <c r="I300" i="2"/>
  <c r="H300" i="2"/>
  <c r="I299" i="2"/>
  <c r="H299" i="2"/>
  <c r="I298" i="2"/>
  <c r="H298" i="2"/>
  <c r="I297" i="2"/>
  <c r="H297" i="2"/>
  <c r="I296" i="2"/>
  <c r="H296" i="2"/>
  <c r="I295" i="2"/>
  <c r="H295" i="2"/>
  <c r="I294" i="2"/>
  <c r="H294" i="2"/>
  <c r="I293" i="2"/>
  <c r="H293" i="2"/>
  <c r="I292" i="2"/>
  <c r="H292" i="2"/>
  <c r="I291" i="2"/>
  <c r="H291" i="2"/>
  <c r="I290" i="2"/>
  <c r="H290" i="2"/>
  <c r="I289" i="2"/>
  <c r="H289" i="2"/>
  <c r="I288" i="2"/>
  <c r="H288" i="2"/>
  <c r="I287" i="2"/>
  <c r="H287" i="2"/>
  <c r="I286" i="2"/>
  <c r="H286" i="2"/>
  <c r="I285" i="2"/>
  <c r="H285" i="2"/>
  <c r="I284" i="2"/>
  <c r="H284" i="2"/>
  <c r="I283" i="2"/>
  <c r="H283" i="2"/>
  <c r="I282" i="2"/>
  <c r="H282" i="2"/>
  <c r="I281" i="2"/>
  <c r="H281" i="2"/>
  <c r="I280" i="2"/>
  <c r="H280" i="2"/>
  <c r="I279" i="2"/>
  <c r="H279" i="2"/>
  <c r="I278" i="2"/>
  <c r="H278" i="2"/>
  <c r="I277" i="2"/>
  <c r="H277" i="2"/>
  <c r="I276" i="2"/>
  <c r="H276" i="2"/>
  <c r="I275" i="2"/>
  <c r="H275" i="2"/>
  <c r="I274" i="2"/>
  <c r="H274" i="2"/>
  <c r="I273" i="2"/>
  <c r="H273" i="2"/>
  <c r="I272" i="2"/>
  <c r="H272" i="2"/>
  <c r="I271" i="2"/>
  <c r="H271" i="2"/>
  <c r="I270" i="2"/>
  <c r="H270" i="2"/>
  <c r="I269" i="2"/>
  <c r="H269" i="2"/>
  <c r="I268" i="2"/>
  <c r="H268" i="2"/>
  <c r="I267" i="2"/>
  <c r="H267" i="2"/>
  <c r="I266" i="2"/>
  <c r="H266" i="2"/>
  <c r="I265" i="2"/>
  <c r="H265" i="2"/>
  <c r="I264" i="2"/>
  <c r="H264" i="2"/>
  <c r="I263" i="2"/>
  <c r="H263" i="2"/>
  <c r="I262" i="2"/>
  <c r="H262" i="2"/>
  <c r="I261" i="2"/>
  <c r="H261" i="2"/>
  <c r="I260" i="2"/>
  <c r="H260" i="2"/>
  <c r="I259" i="2"/>
  <c r="H259" i="2"/>
  <c r="I258" i="2"/>
  <c r="H258" i="2"/>
  <c r="I257" i="2"/>
  <c r="H257" i="2"/>
  <c r="I256" i="2"/>
  <c r="H256" i="2"/>
  <c r="I255" i="2"/>
  <c r="H255" i="2"/>
  <c r="I254" i="2"/>
  <c r="H254" i="2"/>
  <c r="I253" i="2"/>
  <c r="H253" i="2"/>
  <c r="I252" i="2"/>
  <c r="H252" i="2"/>
  <c r="I251" i="2"/>
  <c r="H251" i="2"/>
  <c r="I250" i="2"/>
  <c r="H250" i="2"/>
  <c r="I249" i="2"/>
  <c r="H249" i="2"/>
  <c r="I248" i="2"/>
  <c r="H248" i="2"/>
  <c r="I247" i="2"/>
  <c r="H247" i="2"/>
  <c r="I246" i="2"/>
  <c r="H246" i="2"/>
  <c r="I245" i="2"/>
  <c r="H245" i="2"/>
  <c r="I244" i="2"/>
  <c r="H244" i="2"/>
  <c r="I243" i="2"/>
  <c r="H243" i="2"/>
  <c r="I242" i="2"/>
  <c r="H242" i="2"/>
  <c r="I241" i="2"/>
  <c r="H241" i="2"/>
  <c r="I240" i="2"/>
  <c r="H240" i="2"/>
  <c r="I239" i="2"/>
  <c r="H239" i="2"/>
  <c r="I238" i="2"/>
  <c r="H238" i="2"/>
  <c r="I237" i="2"/>
  <c r="H237" i="2"/>
  <c r="I236" i="2"/>
  <c r="H236" i="2"/>
  <c r="I235" i="2"/>
  <c r="H235" i="2"/>
  <c r="I234" i="2"/>
  <c r="H234" i="2"/>
  <c r="I233" i="2"/>
  <c r="H233" i="2"/>
  <c r="I232" i="2"/>
  <c r="H232" i="2"/>
  <c r="I231" i="2"/>
  <c r="H231" i="2"/>
  <c r="I230" i="2"/>
  <c r="H230" i="2"/>
  <c r="I229" i="2"/>
  <c r="H229" i="2"/>
  <c r="I228" i="2"/>
  <c r="H228" i="2"/>
  <c r="I227" i="2"/>
  <c r="H227" i="2"/>
  <c r="I226" i="2"/>
  <c r="H226" i="2"/>
  <c r="I225" i="2"/>
  <c r="H225" i="2"/>
  <c r="I224" i="2"/>
  <c r="H224" i="2"/>
  <c r="I223" i="2"/>
  <c r="H223" i="2"/>
  <c r="I222" i="2"/>
  <c r="H222" i="2"/>
  <c r="I221" i="2"/>
  <c r="H221" i="2"/>
  <c r="I220" i="2"/>
  <c r="H220" i="2"/>
  <c r="I219" i="2"/>
  <c r="H219" i="2"/>
  <c r="I218" i="2"/>
  <c r="H218" i="2"/>
  <c r="I217" i="2"/>
  <c r="H217" i="2"/>
  <c r="I216" i="2"/>
  <c r="H216" i="2"/>
  <c r="I215" i="2"/>
  <c r="H215" i="2"/>
  <c r="I214" i="2"/>
  <c r="H214" i="2"/>
  <c r="I213" i="2"/>
  <c r="H213" i="2"/>
  <c r="I212" i="2"/>
  <c r="H212" i="2"/>
  <c r="I211" i="2"/>
  <c r="H211" i="2"/>
  <c r="I210" i="2"/>
  <c r="H210" i="2"/>
  <c r="I209" i="2"/>
  <c r="H209" i="2"/>
  <c r="I208" i="2"/>
  <c r="H208" i="2"/>
  <c r="I207" i="2"/>
  <c r="H207" i="2"/>
  <c r="I206" i="2"/>
  <c r="H206" i="2"/>
  <c r="I205" i="2"/>
  <c r="H205" i="2"/>
  <c r="I204" i="2"/>
  <c r="H204" i="2"/>
  <c r="I203" i="2"/>
  <c r="H203" i="2"/>
  <c r="I202" i="2"/>
  <c r="H202" i="2"/>
  <c r="I201" i="2"/>
  <c r="H201" i="2"/>
  <c r="I200" i="2"/>
  <c r="H200" i="2"/>
  <c r="I199" i="2"/>
  <c r="H199" i="2"/>
  <c r="I198" i="2"/>
  <c r="H198" i="2"/>
  <c r="I197" i="2"/>
  <c r="H197" i="2"/>
  <c r="I196" i="2"/>
  <c r="H196" i="2"/>
  <c r="I195" i="2"/>
  <c r="H195" i="2"/>
  <c r="I194" i="2"/>
  <c r="H194" i="2"/>
  <c r="I193" i="2"/>
  <c r="H193" i="2"/>
  <c r="I192" i="2"/>
  <c r="H192" i="2"/>
  <c r="I191" i="2"/>
  <c r="H191" i="2"/>
  <c r="I190" i="2"/>
  <c r="H190" i="2"/>
  <c r="I189" i="2"/>
  <c r="H189" i="2"/>
  <c r="I188" i="2"/>
  <c r="H188" i="2"/>
  <c r="I187" i="2"/>
  <c r="H187" i="2"/>
  <c r="I186" i="2"/>
  <c r="H186" i="2"/>
  <c r="I185" i="2"/>
  <c r="H185" i="2"/>
  <c r="I184" i="2"/>
  <c r="H184" i="2"/>
  <c r="I183" i="2"/>
  <c r="H183" i="2"/>
  <c r="I182" i="2"/>
  <c r="H182" i="2"/>
  <c r="I181" i="2"/>
  <c r="H181" i="2"/>
  <c r="I180" i="2"/>
  <c r="H180" i="2"/>
  <c r="I179" i="2"/>
  <c r="H179" i="2"/>
  <c r="I178" i="2"/>
  <c r="H178" i="2"/>
  <c r="I177" i="2"/>
  <c r="H177" i="2"/>
  <c r="I176" i="2"/>
  <c r="H176" i="2"/>
  <c r="I175" i="2"/>
  <c r="H175" i="2"/>
  <c r="I174" i="2"/>
  <c r="H174" i="2"/>
  <c r="I173" i="2"/>
  <c r="H173" i="2"/>
  <c r="I172" i="2"/>
  <c r="H172" i="2"/>
  <c r="I171" i="2"/>
  <c r="H171" i="2"/>
  <c r="I170" i="2"/>
  <c r="H170" i="2"/>
  <c r="I169" i="2"/>
  <c r="H169" i="2"/>
  <c r="I168" i="2"/>
  <c r="H168" i="2"/>
  <c r="I167" i="2"/>
  <c r="H167" i="2"/>
  <c r="I166" i="2"/>
  <c r="H166" i="2"/>
  <c r="I165" i="2"/>
  <c r="H165" i="2"/>
  <c r="I164" i="2"/>
  <c r="H164" i="2"/>
  <c r="I163" i="2"/>
  <c r="H163" i="2"/>
  <c r="I162" i="2"/>
  <c r="H162" i="2"/>
  <c r="I161" i="2"/>
  <c r="H161" i="2"/>
  <c r="I160" i="2"/>
  <c r="H160" i="2"/>
  <c r="I159" i="2"/>
  <c r="H159" i="2"/>
  <c r="I158" i="2"/>
  <c r="H158" i="2"/>
  <c r="I157" i="2"/>
  <c r="H157" i="2"/>
  <c r="I156" i="2"/>
  <c r="H156" i="2"/>
  <c r="I155" i="2"/>
  <c r="H155" i="2"/>
  <c r="I154" i="2"/>
  <c r="H154" i="2"/>
  <c r="I153" i="2"/>
  <c r="H153" i="2"/>
  <c r="I152" i="2"/>
  <c r="H152" i="2"/>
  <c r="I151" i="2"/>
  <c r="H151" i="2"/>
  <c r="I150" i="2"/>
  <c r="H150" i="2"/>
  <c r="I149" i="2"/>
  <c r="H149" i="2"/>
  <c r="I148" i="2"/>
  <c r="H148" i="2"/>
  <c r="I147" i="2"/>
  <c r="H147" i="2"/>
  <c r="I146" i="2"/>
  <c r="H146" i="2"/>
  <c r="I145" i="2"/>
  <c r="H145" i="2"/>
  <c r="I144" i="2"/>
  <c r="H144" i="2"/>
  <c r="I143" i="2"/>
  <c r="H143" i="2"/>
  <c r="I142" i="2"/>
  <c r="H142" i="2"/>
  <c r="I141" i="2"/>
  <c r="H141" i="2"/>
  <c r="I140" i="2"/>
  <c r="H140" i="2"/>
  <c r="I139" i="2"/>
  <c r="H139" i="2"/>
  <c r="I138" i="2"/>
  <c r="H138" i="2"/>
  <c r="I137" i="2"/>
  <c r="H137" i="2"/>
  <c r="I136" i="2"/>
  <c r="H136" i="2"/>
  <c r="I135" i="2"/>
  <c r="H135" i="2"/>
  <c r="I134" i="2"/>
  <c r="H134" i="2"/>
  <c r="I133" i="2"/>
  <c r="H133" i="2"/>
  <c r="I132" i="2"/>
  <c r="H132" i="2"/>
  <c r="I131" i="2"/>
  <c r="H131" i="2"/>
  <c r="I130" i="2"/>
  <c r="H130" i="2"/>
  <c r="I129" i="2"/>
  <c r="H129" i="2"/>
  <c r="I128" i="2"/>
  <c r="H128" i="2"/>
  <c r="I127" i="2"/>
  <c r="H127" i="2"/>
  <c r="I126" i="2"/>
  <c r="H126" i="2"/>
  <c r="I125" i="2"/>
  <c r="H125" i="2"/>
  <c r="I124" i="2"/>
  <c r="H124" i="2"/>
  <c r="I123" i="2"/>
  <c r="H123" i="2"/>
  <c r="I122" i="2"/>
  <c r="H122" i="2"/>
  <c r="I121" i="2"/>
  <c r="H121" i="2"/>
  <c r="I120" i="2"/>
  <c r="H120" i="2"/>
  <c r="I119" i="2"/>
  <c r="H119" i="2"/>
  <c r="I118" i="2"/>
  <c r="H118" i="2"/>
  <c r="I117" i="2"/>
  <c r="H117" i="2"/>
  <c r="I116" i="2"/>
  <c r="H116" i="2"/>
  <c r="I115" i="2"/>
  <c r="H115" i="2"/>
  <c r="I114" i="2"/>
  <c r="H114" i="2"/>
  <c r="I113" i="2"/>
  <c r="H113" i="2"/>
  <c r="I112" i="2"/>
  <c r="H112" i="2"/>
  <c r="I111" i="2"/>
  <c r="H111" i="2"/>
  <c r="I110" i="2"/>
  <c r="H110" i="2"/>
  <c r="I109" i="2"/>
  <c r="H109" i="2"/>
  <c r="I108" i="2"/>
  <c r="H108" i="2"/>
  <c r="I107" i="2"/>
  <c r="H107" i="2"/>
  <c r="I106" i="2"/>
  <c r="H106" i="2"/>
  <c r="I105" i="2"/>
  <c r="H105" i="2"/>
  <c r="I104" i="2"/>
  <c r="H104" i="2"/>
  <c r="I103" i="2"/>
  <c r="H103" i="2"/>
  <c r="I102" i="2"/>
  <c r="H102" i="2"/>
  <c r="I101" i="2"/>
  <c r="H101" i="2"/>
  <c r="I100" i="2"/>
  <c r="H100" i="2"/>
  <c r="I99" i="2"/>
  <c r="H99" i="2"/>
  <c r="I98" i="2"/>
  <c r="H98" i="2"/>
  <c r="I97" i="2"/>
  <c r="H97" i="2"/>
  <c r="I96" i="2"/>
  <c r="H96" i="2"/>
  <c r="I95" i="2"/>
  <c r="H95" i="2"/>
  <c r="I94" i="2"/>
  <c r="H94" i="2"/>
  <c r="I93" i="2"/>
  <c r="H93" i="2"/>
  <c r="I92" i="2"/>
  <c r="H92" i="2"/>
  <c r="I91" i="2"/>
  <c r="H91" i="2"/>
  <c r="I90" i="2"/>
  <c r="H90" i="2"/>
  <c r="I89" i="2"/>
  <c r="H89" i="2"/>
  <c r="I88" i="2"/>
  <c r="H88" i="2"/>
  <c r="I87" i="2"/>
  <c r="H87" i="2"/>
  <c r="I86" i="2"/>
  <c r="H86" i="2"/>
  <c r="I85" i="2"/>
  <c r="H85" i="2"/>
  <c r="I84" i="2"/>
  <c r="H84" i="2"/>
  <c r="I83" i="2"/>
  <c r="H83" i="2"/>
  <c r="I82" i="2"/>
  <c r="H82" i="2"/>
  <c r="I81" i="2"/>
  <c r="H81" i="2"/>
  <c r="I80" i="2"/>
  <c r="H80" i="2"/>
  <c r="I79" i="2"/>
  <c r="H79" i="2"/>
  <c r="I78" i="2"/>
  <c r="H78" i="2"/>
  <c r="I77" i="2"/>
  <c r="H77" i="2"/>
  <c r="I76" i="2"/>
  <c r="H76" i="2"/>
  <c r="I75" i="2"/>
  <c r="H75" i="2"/>
  <c r="I74" i="2"/>
  <c r="H74" i="2"/>
  <c r="I73" i="2"/>
  <c r="H73" i="2"/>
  <c r="I72" i="2"/>
  <c r="H72" i="2"/>
  <c r="I71" i="2"/>
  <c r="H71" i="2"/>
  <c r="I70" i="2"/>
  <c r="H70" i="2"/>
  <c r="I69" i="2"/>
  <c r="H69" i="2"/>
  <c r="I68" i="2"/>
  <c r="H68" i="2"/>
  <c r="I67" i="2"/>
  <c r="H67" i="2"/>
  <c r="I66" i="2"/>
  <c r="H66" i="2"/>
  <c r="I65" i="2"/>
  <c r="H65" i="2"/>
  <c r="I64" i="2"/>
  <c r="H64" i="2"/>
  <c r="I63" i="2"/>
  <c r="H63" i="2"/>
  <c r="I62" i="2"/>
  <c r="H62" i="2"/>
  <c r="I61" i="2"/>
  <c r="H61" i="2"/>
  <c r="I60" i="2"/>
  <c r="H60" i="2"/>
  <c r="I59" i="2"/>
  <c r="H59" i="2"/>
  <c r="I58" i="2"/>
  <c r="H58" i="2"/>
  <c r="I57" i="2"/>
  <c r="H57" i="2"/>
  <c r="I56" i="2"/>
  <c r="H56" i="2"/>
  <c r="I55" i="2"/>
  <c r="H55" i="2"/>
  <c r="I54" i="2"/>
  <c r="H54" i="2"/>
  <c r="I53" i="2"/>
  <c r="H53" i="2"/>
  <c r="I52" i="2"/>
  <c r="H52" i="2"/>
  <c r="I51" i="2"/>
  <c r="H51" i="2"/>
  <c r="I50" i="2"/>
  <c r="H50" i="2"/>
  <c r="I49" i="2"/>
  <c r="H49" i="2"/>
  <c r="I48" i="2"/>
  <c r="H48" i="2"/>
  <c r="I47" i="2"/>
  <c r="H47" i="2"/>
  <c r="I46" i="2"/>
  <c r="H46" i="2"/>
  <c r="I45" i="2"/>
  <c r="H45" i="2"/>
  <c r="I44" i="2"/>
  <c r="H44" i="2"/>
  <c r="I43" i="2"/>
  <c r="H43" i="2"/>
  <c r="I42" i="2"/>
  <c r="H42" i="2"/>
  <c r="I41" i="2"/>
  <c r="H41" i="2"/>
  <c r="I40" i="2"/>
  <c r="H40" i="2"/>
  <c r="I39" i="2"/>
  <c r="H39" i="2"/>
  <c r="I38" i="2"/>
  <c r="H38" i="2"/>
  <c r="I37" i="2"/>
  <c r="H37" i="2"/>
  <c r="I36" i="2"/>
  <c r="H36" i="2"/>
  <c r="I35" i="2"/>
  <c r="H35" i="2"/>
  <c r="I34" i="2"/>
  <c r="H34" i="2"/>
  <c r="I33" i="2"/>
  <c r="H33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2" i="2"/>
  <c r="H22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  <c r="I5" i="2"/>
  <c r="H5" i="2"/>
  <c r="I4" i="2"/>
  <c r="H4" i="2"/>
  <c r="I3" i="2"/>
  <c r="H3" i="2"/>
  <c r="I2" i="2"/>
  <c r="H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C5DE0A-7D29-4109-AF15-6224D5A5059D}" keepAlive="1" name="Consulta - bestsellers with categories" description="Conexión a la consulta 'bestsellers with categories' en el libro." type="5" refreshedVersion="8" background="1" saveData="1">
    <dbPr connection="Provider=Microsoft.Mashup.OleDb.1;Data Source=$Workbook$;Location=&quot;bestsellers with categories&quot;;Extended Properties=&quot;&quot;" command="SELECT * FROM [bestsellers with categories]"/>
  </connection>
</connections>
</file>

<file path=xl/sharedStrings.xml><?xml version="1.0" encoding="utf-8"?>
<sst xmlns="http://schemas.openxmlformats.org/spreadsheetml/2006/main" count="1768" uniqueCount="637">
  <si>
    <t>Name</t>
  </si>
  <si>
    <t>Author</t>
  </si>
  <si>
    <t>User Rating</t>
  </si>
  <si>
    <t>Reviews</t>
  </si>
  <si>
    <t>Price</t>
  </si>
  <si>
    <t>Year</t>
  </si>
  <si>
    <t>Genre</t>
  </si>
  <si>
    <t>10-Day Green Smoothie Cleanse</t>
  </si>
  <si>
    <t>JJ Smith</t>
  </si>
  <si>
    <t>Non Fiction</t>
  </si>
  <si>
    <t>11/22/63: A Novel</t>
  </si>
  <si>
    <t>Stephen King</t>
  </si>
  <si>
    <t>Fiction</t>
  </si>
  <si>
    <t>12 Rules for Life: An Antidote to Chaos</t>
  </si>
  <si>
    <t>Jordan B. Peterson</t>
  </si>
  <si>
    <t>1984 (Signet Classics)</t>
  </si>
  <si>
    <t>George Orwell</t>
  </si>
  <si>
    <t>5,000 Awesome Facts (About Everything!) (National Geographic Kids)</t>
  </si>
  <si>
    <t>National Geographic Kids</t>
  </si>
  <si>
    <t>A Dance with Dragons (A Song of Ice and Fire)</t>
  </si>
  <si>
    <t>George R. R. Martin</t>
  </si>
  <si>
    <t>A Game of Thrones / A Clash of Kings / A Storm of Swords / A Feast of Crows / A Dance with Dragons</t>
  </si>
  <si>
    <t>A Gentleman in Moscow: A Novel</t>
  </si>
  <si>
    <t>Amor Towles</t>
  </si>
  <si>
    <t>A Higher Loyalty: Truth, Lies, and Leadership</t>
  </si>
  <si>
    <t>James Comey</t>
  </si>
  <si>
    <t>A Man Called Ove: A Novel</t>
  </si>
  <si>
    <t>Fredrik Backman</t>
  </si>
  <si>
    <t>A Patriot's History of the United States: From Columbus's Great Discovery to the War on Terror</t>
  </si>
  <si>
    <t>Larry Schweikart</t>
  </si>
  <si>
    <t>A Stolen Life: A Memoir</t>
  </si>
  <si>
    <t>Jaycee Dugard</t>
  </si>
  <si>
    <t>A Wrinkle in Time (Time Quintet)</t>
  </si>
  <si>
    <t>Madeleine L'Engle</t>
  </si>
  <si>
    <t>Act Like a Lady, Think Like a Man: What Men Really Think About Love, Relationships, Intimacy, and Commitment</t>
  </si>
  <si>
    <t>Steve Harvey</t>
  </si>
  <si>
    <t>Adult Coloring Book Designs: Stress Relief Coloring Book: Garden Designs, Mandalas, Animals, and Paisley Patterns</t>
  </si>
  <si>
    <t>Adult Coloring Book Designs</t>
  </si>
  <si>
    <t>Adult Coloring Book: Stress Relieving Animal Designs</t>
  </si>
  <si>
    <t>Blue Star Coloring</t>
  </si>
  <si>
    <t>Adult Coloring Book: Stress Relieving Patterns</t>
  </si>
  <si>
    <t>Adult Coloring Books: A Coloring Book for Adults Featuring Mandalas and Henna Inspired Flowers, Animals, and Paisley…</t>
  </si>
  <si>
    <t>Coloring Books for Adults</t>
  </si>
  <si>
    <t>Alexander Hamilton</t>
  </si>
  <si>
    <t>Ron Chernow</t>
  </si>
  <si>
    <t>All the Light We Cannot See</t>
  </si>
  <si>
    <t>Anthony Doerr</t>
  </si>
  <si>
    <t>Allegiant</t>
  </si>
  <si>
    <t>Veronica Roth</t>
  </si>
  <si>
    <t>American Sniper: The Autobiography of the Most Lethal Sniper in U.S. Military History</t>
  </si>
  <si>
    <t>Chris Kyle</t>
  </si>
  <si>
    <t>And the Mountains Echoed</t>
  </si>
  <si>
    <t>Khaled Hosseini</t>
  </si>
  <si>
    <t>Arguing with Idiots: How to Stop Small Minds and Big Government</t>
  </si>
  <si>
    <t>Glenn Beck</t>
  </si>
  <si>
    <t>Astrophysics for People in a Hurry</t>
  </si>
  <si>
    <t>Neil deGrasse Tyson</t>
  </si>
  <si>
    <t>Autobiography of Mark Twain, Vol. 1</t>
  </si>
  <si>
    <t>Mark Twain</t>
  </si>
  <si>
    <t>Baby Touch and Feel: Animals</t>
  </si>
  <si>
    <t>DK</t>
  </si>
  <si>
    <t>Balance (Angie's Extreme Stress Menders)</t>
  </si>
  <si>
    <t>Angie Grace</t>
  </si>
  <si>
    <t>Barefoot Contessa Foolproof: Recipes You Can Trust: A Cookbook</t>
  </si>
  <si>
    <t>Ina Garten</t>
  </si>
  <si>
    <t>Barefoot Contessa, How Easy Is That?: Fabulous Recipes &amp; Easy Tips</t>
  </si>
  <si>
    <t>Becoming</t>
  </si>
  <si>
    <t>Michelle Obama</t>
  </si>
  <si>
    <t>Being Mortal: Medicine and What Matters in the End</t>
  </si>
  <si>
    <t>Atul Gawande</t>
  </si>
  <si>
    <t>Between the World and Me</t>
  </si>
  <si>
    <t>Ta-Nehisi Coates</t>
  </si>
  <si>
    <t>Born to Run</t>
  </si>
  <si>
    <t>Bruce Springsteen</t>
  </si>
  <si>
    <t>Breaking Dawn (The Twilight Saga, Book 4)</t>
  </si>
  <si>
    <t>Stephenie Meyer</t>
  </si>
  <si>
    <t>Broke: The Plan to Restore Our Trust, Truth and Treasure</t>
  </si>
  <si>
    <t>Brown Bear, Brown Bear, What Do You See?</t>
  </si>
  <si>
    <t>Bill Martin Jr.</t>
  </si>
  <si>
    <t>Cabin Fever (Diary of a Wimpy Kid, Book 6)</t>
  </si>
  <si>
    <t>Jeff Kinney</t>
  </si>
  <si>
    <t>Calm the F*ck Down: An Irreverent Adult Coloring Book (Irreverent Book Series)</t>
  </si>
  <si>
    <t>Sasha O'Hara</t>
  </si>
  <si>
    <t>Can't Hurt Me: Master Your Mind and Defy the Odds</t>
  </si>
  <si>
    <t>David Goggins</t>
  </si>
  <si>
    <t>Capital in the Twenty First Century</t>
  </si>
  <si>
    <t>Thomas Piketty</t>
  </si>
  <si>
    <t>Catching Fire (The Hunger Games)</t>
  </si>
  <si>
    <t>Suzanne Collins</t>
  </si>
  <si>
    <t>Cravings: Recipes for All the Food You Want to Eat: A Cookbook</t>
  </si>
  <si>
    <t>Chrissy Teigen</t>
  </si>
  <si>
    <t>Crazy Love: Overwhelmed by a Relentless God</t>
  </si>
  <si>
    <t>Francis Chan</t>
  </si>
  <si>
    <t>Crazy Rich Asians (Crazy Rich Asians Trilogy)</t>
  </si>
  <si>
    <t>Kevin Kwan</t>
  </si>
  <si>
    <t>Creative Haven Creative Cats Coloring Book (Adult Coloring)</t>
  </si>
  <si>
    <t>Marjorie Sarnat</t>
  </si>
  <si>
    <t>Creative Haven Owls Coloring Book (Adult Coloring)</t>
  </si>
  <si>
    <t>Cutting for Stone</t>
  </si>
  <si>
    <t>Abraham Verghese</t>
  </si>
  <si>
    <t>Daring Greatly: How the Courage to Be Vulnerable Transforms the Way We Live, Love, Parent, and Lead</t>
  </si>
  <si>
    <t>Brené Brown</t>
  </si>
  <si>
    <t>David and Goliath: Underdogs, Misfits, and the Art of Battling Giants</t>
  </si>
  <si>
    <t>Malcolm Gladwell</t>
  </si>
  <si>
    <t>Dead And Gone: A Sookie Stackhouse Novel (Sookie Stackhouse/True Blood)</t>
  </si>
  <si>
    <t>Charlaine Harris</t>
  </si>
  <si>
    <t>Dead in the Family (Sookie Stackhouse/True Blood, Book 10)</t>
  </si>
  <si>
    <t>Dead Reckoning (Sookie Stackhouse/True Blood, Book 11)</t>
  </si>
  <si>
    <t>Dear Zoo: A Lift-the-Flap Book</t>
  </si>
  <si>
    <t>Rod Campbell</t>
  </si>
  <si>
    <t>Decision Points</t>
  </si>
  <si>
    <t>George W. Bush</t>
  </si>
  <si>
    <t>Delivering Happiness: A Path to Profits, Passion, and Purpose</t>
  </si>
  <si>
    <t>Tony Hsieh</t>
  </si>
  <si>
    <t>Diagnostic and Statistical Manual of Mental Disorders, 5th Edition: DSM-5</t>
  </si>
  <si>
    <t>American Psychiatric Association</t>
  </si>
  <si>
    <t>Diary of a Wimpy Kid: Hard Luck, Book 8</t>
  </si>
  <si>
    <t>Diary of a Wimpy Kid: The Last Straw (Book 3)</t>
  </si>
  <si>
    <t>Diary of a Wimpy Kid: The Long Haul</t>
  </si>
  <si>
    <t>Difficult Riddles For Smart Kids: 300 Difficult Riddles And Brain Teasers Families Will Love (Books for Smart Kids)</t>
  </si>
  <si>
    <t>M Prefontaine</t>
  </si>
  <si>
    <t>Divergent</t>
  </si>
  <si>
    <t>Divergent / Insurgent</t>
  </si>
  <si>
    <t>Divine Soul Mind Body Healing and Transmission System: The Divine Way to Heal You, Humanity, Mother Earth, and All…</t>
  </si>
  <si>
    <t>Zhi Gang Sha</t>
  </si>
  <si>
    <t>Doctor Sleep: A Novel</t>
  </si>
  <si>
    <t>Dog Days (Diary of a Wimpy Kid, Book 4) (Volume 4)</t>
  </si>
  <si>
    <t>Dog Man and Cat Kid: From the Creator of Captain Underpants (Dog Man #4)</t>
  </si>
  <si>
    <t>Dav Pilkey</t>
  </si>
  <si>
    <t>Dog Man: A Tale of Two Kitties: From the Creator of Captain Underpants (Dog Man #3)</t>
  </si>
  <si>
    <t>Dog Man: Brawl of the Wild: From the Creator of Captain Underpants (Dog Man #6)</t>
  </si>
  <si>
    <t>Dog Man: Fetch-22: From the Creator of Captain Underpants (Dog Man #8)</t>
  </si>
  <si>
    <t>Dog Man: For Whom the Ball Rolls: From the Creator of Captain Underpants (Dog Man #7)</t>
  </si>
  <si>
    <t>Dog Man: Lord of the Fleas: From the Creator of Captain Underpants (Dog Man #5)</t>
  </si>
  <si>
    <t>Double Down (Diary of a Wimpy Kid #11)</t>
  </si>
  <si>
    <t>Dover Creative Haven Art Nouveau Animal Designs Coloring Book (Creative Haven Coloring Books)</t>
  </si>
  <si>
    <t>Marty Noble</t>
  </si>
  <si>
    <t>Drive: The Surprising Truth About What Motivates Us</t>
  </si>
  <si>
    <t>Daniel H. Pink</t>
  </si>
  <si>
    <t>Eat This Not That! Supermarket Survival Guide: The No-Diet Weight Loss Solution</t>
  </si>
  <si>
    <t>David Zinczenko</t>
  </si>
  <si>
    <t>Eat This, Not That! Thousands of Simple Food Swaps that Can Save You 10, 20, 30 Pounds--or More!</t>
  </si>
  <si>
    <t>Eat to Live: The Amazing Nutrient-Rich Program for Fast and Sustained Weight Loss, Revised Edition</t>
  </si>
  <si>
    <t>Joel Fuhrman MD</t>
  </si>
  <si>
    <t>Eclipse (Twilight Sagas)</t>
  </si>
  <si>
    <t>Eclipse (Twilight)</t>
  </si>
  <si>
    <t>Educated: A Memoir</t>
  </si>
  <si>
    <t>Tara Westover</t>
  </si>
  <si>
    <t>Enchanted Forest: An Inky Quest and Coloring book (Activity Books, Mindfulness and Meditation, Illustrated Floral Prints…</t>
  </si>
  <si>
    <t>Johanna Basford</t>
  </si>
  <si>
    <t>Fahrenheit 451</t>
  </si>
  <si>
    <t>Ray Bradbury</t>
  </si>
  <si>
    <t>Fantastic Beasts and Where to Find Them: The Original Screenplay (Harry Potter)</t>
  </si>
  <si>
    <t>J.K. Rowling</t>
  </si>
  <si>
    <t>Fear: Trump in the White House</t>
  </si>
  <si>
    <t>Bob Woodward</t>
  </si>
  <si>
    <t>Fifty Shades Darker</t>
  </si>
  <si>
    <t>E L James</t>
  </si>
  <si>
    <t>Fifty Shades Freed: Book Three of the Fifty Shades Trilogy (Fifty Shades of Grey Series) (English Edition)</t>
  </si>
  <si>
    <t>Fifty Shades of Grey: Book One of the Fifty Shades Trilogy (Fifty Shades of Grey Series)</t>
  </si>
  <si>
    <t>Fifty Shades Trilogy (Fifty Shades of Grey / Fifty Shades Darker / Fifty Shades Freed)</t>
  </si>
  <si>
    <t>Fire and Fury: Inside the Trump White House</t>
  </si>
  <si>
    <t>Michael Wolff</t>
  </si>
  <si>
    <t>First 100 Words</t>
  </si>
  <si>
    <t>Roger Priddy</t>
  </si>
  <si>
    <t>Food Rules: An Eater's Manual</t>
  </si>
  <si>
    <t>Michael Pollan</t>
  </si>
  <si>
    <t>Frozen (Little Golden Book)</t>
  </si>
  <si>
    <t>RH Disney</t>
  </si>
  <si>
    <t>Game Change: Obama and the Clintons, McCain and Palin, and the Race of a Lifetime</t>
  </si>
  <si>
    <t>John Heilemann</t>
  </si>
  <si>
    <t>Game of Thrones Boxed Set: A Game of Thrones/A Clash of Kings/A Storm of Swords/A Feast for Crows</t>
  </si>
  <si>
    <t>George R.R. Martin</t>
  </si>
  <si>
    <t>George Washington's Sacred Fire</t>
  </si>
  <si>
    <t>Peter A. Lillback</t>
  </si>
  <si>
    <t>George Washington's Secret Six: The Spy Ring That Saved the American Revolution</t>
  </si>
  <si>
    <t>Brian Kilmeade</t>
  </si>
  <si>
    <t>Giraffes Can't Dance</t>
  </si>
  <si>
    <t>Giles Andreae</t>
  </si>
  <si>
    <t>Girl, Stop Apologizing: A Shame-Free Plan for Embracing and Achieving Your Goals</t>
  </si>
  <si>
    <t>Rachel Hollis</t>
  </si>
  <si>
    <t>Girl, Wash Your Face: Stop Believing the Lies About Who You Are So You Can Become Who You Were Meant to Be</t>
  </si>
  <si>
    <t>Glenn Beck's Common Sense: The Case Against an Out-of-Control Government, Inspired by Thomas Paine</t>
  </si>
  <si>
    <t>Go Set a Watchman: A Novel</t>
  </si>
  <si>
    <t>Harper Lee</t>
  </si>
  <si>
    <t>Go the F**k to Sleep</t>
  </si>
  <si>
    <t>Adam Mansbach</t>
  </si>
  <si>
    <t>Going Rogue: An American Life</t>
  </si>
  <si>
    <t>Sarah Palin</t>
  </si>
  <si>
    <t>Gone Girl</t>
  </si>
  <si>
    <t>Gillian Flynn</t>
  </si>
  <si>
    <t>Good Days Start With Gratitude: A 52 Week Guide To Cultivate An Attitude Of Gratitude: Gratitude Journal</t>
  </si>
  <si>
    <t>Pretty Simple Press</t>
  </si>
  <si>
    <t>Good to Great: Why Some Companies Make the Leap and Others Don't</t>
  </si>
  <si>
    <t>Jim Collins</t>
  </si>
  <si>
    <t>Goodnight Moon</t>
  </si>
  <si>
    <t>Margaret Wise Brown</t>
  </si>
  <si>
    <t>Goodnight, Goodnight Construction Site (Hardcover Books for Toddlers, Preschool Books for Kids)</t>
  </si>
  <si>
    <t>Sherri Duskey Rinker</t>
  </si>
  <si>
    <t>Grain Brain: The Surprising Truth about Wheat, Carbs, and Sugar--Your Brain's Silent Killers</t>
  </si>
  <si>
    <t>David Perlmutter MD</t>
  </si>
  <si>
    <t>Grey: Fifty Shades of Grey as Told by Christian (Fifty Shades of Grey Series)</t>
  </si>
  <si>
    <t>Guts</t>
  </si>
  <si>
    <t>Raina Telgemeier</t>
  </si>
  <si>
    <t>Hamilton: The Revolution</t>
  </si>
  <si>
    <t>Lin-Manuel Miranda</t>
  </si>
  <si>
    <t>Happy, Happy, Happy: My Life and Legacy as the Duck Commander</t>
  </si>
  <si>
    <t>Phil Robertson</t>
  </si>
  <si>
    <t>Harry Potter and the Chamber of Secrets: The Illustrated Edition (Harry Potter, Book 2)</t>
  </si>
  <si>
    <t>Harry Potter and the Cursed Child, Parts 1 &amp; 2, Special Rehearsal Edition Script</t>
  </si>
  <si>
    <t>Harry Potter and the Goblet of Fire: The Illustrated Edition (Harry Potter, Book 4) (4)</t>
  </si>
  <si>
    <t>J. K. Rowling</t>
  </si>
  <si>
    <t>Harry Potter and the Prisoner of Azkaban: The Illustrated Edition (Harry Potter, Book 3)</t>
  </si>
  <si>
    <t>Harry Potter and the Sorcerer's Stone: The Illustrated Edition (Harry Potter, Book 1)</t>
  </si>
  <si>
    <t>Harry Potter Coloring Book</t>
  </si>
  <si>
    <t>Scholastic</t>
  </si>
  <si>
    <t>Harry Potter Paperback Box Set (Books 1-7)</t>
  </si>
  <si>
    <t>Have a Little Faith: A True Story</t>
  </si>
  <si>
    <t>Mitch Albom</t>
  </si>
  <si>
    <t>Heaven is for Real: A Little Boy's Astounding Story of His Trip to Heaven and Back</t>
  </si>
  <si>
    <t>Todd Burpo</t>
  </si>
  <si>
    <t>Hillbilly Elegy: A Memoir of a Family and Culture in Crisis</t>
  </si>
  <si>
    <t>J. D. Vance</t>
  </si>
  <si>
    <t>Homebody: A Guide to Creating Spaces You Never Want to Leave</t>
  </si>
  <si>
    <t>Joanna Gaines</t>
  </si>
  <si>
    <t>How to Win Friends &amp; Influence People</t>
  </si>
  <si>
    <t>Dale Carnegie</t>
  </si>
  <si>
    <t>Howard Stern Comes Again</t>
  </si>
  <si>
    <t>Howard Stern</t>
  </si>
  <si>
    <t>Humans of New York</t>
  </si>
  <si>
    <t>Brandon Stanton</t>
  </si>
  <si>
    <t>Humans of New York : Stories</t>
  </si>
  <si>
    <t>Hyperbole and a Half: Unfortunate Situations, Flawed Coping Mechanisms, Mayhem, and Other Things That Happened</t>
  </si>
  <si>
    <t>Allie Brosh</t>
  </si>
  <si>
    <t>I Am Confident, Brave &amp; Beautiful: A Coloring Book for Girls</t>
  </si>
  <si>
    <t>Hopscotch Girls</t>
  </si>
  <si>
    <t>I, Alex Cross</t>
  </si>
  <si>
    <t>James Patterson</t>
  </si>
  <si>
    <t>If Animals Kissed Good Night</t>
  </si>
  <si>
    <t>Ann Whitford Paul</t>
  </si>
  <si>
    <t>If I Stay</t>
  </si>
  <si>
    <t>Gayle Forman</t>
  </si>
  <si>
    <t>In the Garden of Beasts: Love, Terror, and an American Family in Hitler's Berlin</t>
  </si>
  <si>
    <t>Eric Larson</t>
  </si>
  <si>
    <t>Inferno</t>
  </si>
  <si>
    <t>Dan Brown</t>
  </si>
  <si>
    <t>Inheritance: Book IV (Inheritance Cycle)</t>
  </si>
  <si>
    <t>Christopher Paolini</t>
  </si>
  <si>
    <t>Instant Pot Pressure Cooker Cookbook: 500 Everyday Recipes for Beginners and Advanced Users. Try Easy and Healthy…</t>
  </si>
  <si>
    <t>Jennifer Smith</t>
  </si>
  <si>
    <t>It's Not Supposed to Be This Way: Finding Unexpected Strength When Disappointments Leave You Shattered</t>
  </si>
  <si>
    <t>Lysa TerKeurst</t>
  </si>
  <si>
    <t>Jesus Calling: Enjoying Peace in His Presence (with Scripture References)</t>
  </si>
  <si>
    <t>Sarah Young</t>
  </si>
  <si>
    <t>JOURNEY TO THE ICE P</t>
  </si>
  <si>
    <t>Joyland (Hard Case Crime)</t>
  </si>
  <si>
    <t>Killers of the Flower Moon: The Osage Murders and the Birth of the FBI</t>
  </si>
  <si>
    <t>David Grann</t>
  </si>
  <si>
    <t>Killing Jesus (Bill O'Reilly's Killing Series)</t>
  </si>
  <si>
    <t>Bill O'Reilly</t>
  </si>
  <si>
    <t>Killing Kennedy: The End of Camelot</t>
  </si>
  <si>
    <t>Killing Lincoln: The Shocking Assassination that Changed America Forever (Bill O'Reilly's Killing Series)</t>
  </si>
  <si>
    <t>Killing Patton: The Strange Death of World War II's Most Audacious General (Bill O'Reilly's Killing Series)</t>
  </si>
  <si>
    <t>Killing Reagan: The Violent Assault That Changed a Presidency (Bill O'Reilly's Killing Series)</t>
  </si>
  <si>
    <t>Killing the Rising Sun: How America Vanquished World War II Japan (Bill O'Reilly's Killing Series)</t>
  </si>
  <si>
    <t>Kitchen Confidential Updated Edition: Adventures in the Culinary Underbelly (P.S.)</t>
  </si>
  <si>
    <t>Anthony Bourdain</t>
  </si>
  <si>
    <t>Knock-Knock Jokes for Kids</t>
  </si>
  <si>
    <t>Rob Elliott</t>
  </si>
  <si>
    <t>Last Week Tonight with John Oliver Presents A Day in the Life of Marlon Bundo (Better Bundo Book, LGBT Childrens Book)</t>
  </si>
  <si>
    <t>Jill Twiss</t>
  </si>
  <si>
    <t>Laugh-Out-Loud Jokes for Kids</t>
  </si>
  <si>
    <t>Lean In: Women, Work, and the Will to Lead</t>
  </si>
  <si>
    <t>Sheryl Sandberg</t>
  </si>
  <si>
    <t>Leonardo da Vinci</t>
  </si>
  <si>
    <t>Walter Isaacson</t>
  </si>
  <si>
    <t>Lettering and Modern Calligraphy: A Beginner's Guide: Learn Hand Lettering and Brush Lettering</t>
  </si>
  <si>
    <t>Paper Peony Press</t>
  </si>
  <si>
    <t>Liberty and Tyranny: A Conservative Manifesto</t>
  </si>
  <si>
    <t>Mark R. Levin</t>
  </si>
  <si>
    <t>Life</t>
  </si>
  <si>
    <t>Keith Richards</t>
  </si>
  <si>
    <t>Little Bee: A Novel</t>
  </si>
  <si>
    <t>Chris Cleave</t>
  </si>
  <si>
    <t>Little Blue Truck</t>
  </si>
  <si>
    <t>Alice Schertle</t>
  </si>
  <si>
    <t>Little Fires Everywhere</t>
  </si>
  <si>
    <t>Celeste Ng</t>
  </si>
  <si>
    <t>Looking for Alaska</t>
  </si>
  <si>
    <t>John Green</t>
  </si>
  <si>
    <t>Love Wins: A Book About Heaven, Hell, and the Fate of Every Person Who Ever Lived</t>
  </si>
  <si>
    <t>Rob Bell</t>
  </si>
  <si>
    <t>Love You Forever</t>
  </si>
  <si>
    <t>Robert Munsch</t>
  </si>
  <si>
    <t>Magnolia Table: A Collection of Recipes for Gathering</t>
  </si>
  <si>
    <t>Make It Ahead: A Barefoot Contessa Cookbook</t>
  </si>
  <si>
    <t>Make Your Bed: Little Things That Can Change Your Life...And Maybe the World</t>
  </si>
  <si>
    <t>Admiral William H. McRaven</t>
  </si>
  <si>
    <t>Mastering the Art of French Cooking, Vol. 2</t>
  </si>
  <si>
    <t>Julia Child</t>
  </si>
  <si>
    <t>Milk and Honey</t>
  </si>
  <si>
    <t>Rupi Kaur</t>
  </si>
  <si>
    <t>Milk and Vine: Inspirational Quotes From Classic Vines</t>
  </si>
  <si>
    <t>Adam Gasiewski</t>
  </si>
  <si>
    <t>Mindset: The New Psychology of Success</t>
  </si>
  <si>
    <t>Carol S. Dweck</t>
  </si>
  <si>
    <t>Mockingjay (The Hunger Games)</t>
  </si>
  <si>
    <t>National Geographic Kids Why?: Over 1,111 Answers to Everything</t>
  </si>
  <si>
    <t>Crispin Boyer</t>
  </si>
  <si>
    <t>National Geographic Little Kids First Big Book of Why (National Geographic Little Kids First Big Books)</t>
  </si>
  <si>
    <t>Amy Shields</t>
  </si>
  <si>
    <t>New Moon (The Twilight Saga)</t>
  </si>
  <si>
    <t>Night (Night)</t>
  </si>
  <si>
    <t>Elie Wiesel</t>
  </si>
  <si>
    <t>No Easy Day: The Autobiography of a Navy Seal: The Firsthand Account of the Mission That Killed Osama Bin Laden</t>
  </si>
  <si>
    <t>Mark Owen</t>
  </si>
  <si>
    <t>Obama: An Intimate Portrait</t>
  </si>
  <si>
    <t>Pete Souza</t>
  </si>
  <si>
    <t>Oh, the Places You'll Go!</t>
  </si>
  <si>
    <t>Dr. Seuss</t>
  </si>
  <si>
    <t>Old School (Diary of a Wimpy Kid #10)</t>
  </si>
  <si>
    <t>Olive Kitteridge</t>
  </si>
  <si>
    <t>Elizabeth Strout</t>
  </si>
  <si>
    <t>One Thousand Gifts: A Dare to Live Fully Right Where You Are</t>
  </si>
  <si>
    <t>Ann Voskamp</t>
  </si>
  <si>
    <t>Option B: Facing Adversity, Building Resilience, and Finding Joy</t>
  </si>
  <si>
    <t>Origin: A Novel (Robert Langdon)</t>
  </si>
  <si>
    <t>Orphan Train</t>
  </si>
  <si>
    <t>Christina Baker Kline</t>
  </si>
  <si>
    <t>Outliers: The Story of Success</t>
  </si>
  <si>
    <t>P is for Potty! (Sesame Street) (Lift-the-Flap)</t>
  </si>
  <si>
    <t>Naomi Kleinberg</t>
  </si>
  <si>
    <t>Percy Jackson and the Olympians Paperback Boxed Set (Books 1-3)</t>
  </si>
  <si>
    <t>Rick Riordan</t>
  </si>
  <si>
    <t>Player's Handbook (Dungeons &amp; Dragons)</t>
  </si>
  <si>
    <t>Wizards RPG Team</t>
  </si>
  <si>
    <t>Pokémon Deluxe Essential Handbook: The Need-to-Know Stats and Facts on Over 700 Pokémon</t>
  </si>
  <si>
    <t>Proof of Heaven: A Neurosurgeon's Journey into the Afterlife</t>
  </si>
  <si>
    <t>Eben Alexander</t>
  </si>
  <si>
    <t>Publication Manual of the American Psychological Association, 6th Edition</t>
  </si>
  <si>
    <t>American Psychological Association</t>
  </si>
  <si>
    <t>Puppy Birthday to You! (Paw Patrol) (Little Golden Book)</t>
  </si>
  <si>
    <t>Golden Books</t>
  </si>
  <si>
    <t>Quiet: The Power of Introverts in a World That Can't Stop Talking</t>
  </si>
  <si>
    <t>Susan Cain</t>
  </si>
  <si>
    <t>Radical: Taking Back Your Faith from the American Dream</t>
  </si>
  <si>
    <t>David Platt</t>
  </si>
  <si>
    <t>Ready Player One: A Novel</t>
  </si>
  <si>
    <t>Ernest Cline</t>
  </si>
  <si>
    <t>Rush Revere and the Brave Pilgrims: Time-Travel Adventures with Exceptional Americans (1)</t>
  </si>
  <si>
    <t>Rush Limbaugh</t>
  </si>
  <si>
    <t>Rush Revere and the First Patriots: Time-Travel Adventures With Exceptional Americans (2)</t>
  </si>
  <si>
    <t>Salt, Fat, Acid, Heat: Mastering the Elements of Good Cooking</t>
  </si>
  <si>
    <t>Samin Nosrat</t>
  </si>
  <si>
    <t>Sarah's Key</t>
  </si>
  <si>
    <t>Tatiana de Rosnay</t>
  </si>
  <si>
    <t>School Zone - Big Preschool Workbook - Ages 4 and Up, Colors, Shapes, Numbers 1-10, Alphabet, Pre-Writing, Pre-Reading…</t>
  </si>
  <si>
    <t>School Zone</t>
  </si>
  <si>
    <t>Secret Garden: An Inky Treasure Hunt and Coloring Book (For Adults, mindfulness coloring)</t>
  </si>
  <si>
    <t>Sh*t My Dad Says</t>
  </si>
  <si>
    <t>Justin Halpern</t>
  </si>
  <si>
    <t>Ship of Fools: How a Selfish Ruling Class Is Bringing America to the Brink of Revolution</t>
  </si>
  <si>
    <t>Tucker Carlson</t>
  </si>
  <si>
    <t>Shred: The Revolutionary Diet: 6 Weeks 4 Inches 2 Sizes</t>
  </si>
  <si>
    <t>Ian K. Smith M.D.</t>
  </si>
  <si>
    <t>Sookie Stackhouse</t>
  </si>
  <si>
    <t>Soul Healing Miracles: Ancient and New Sacred Wisdom, Knowledge, and Practical Techniques for Healing the Spiritual…</t>
  </si>
  <si>
    <t>Steve Jobs</t>
  </si>
  <si>
    <t>Strange Planet (Strange Planet Series)</t>
  </si>
  <si>
    <t>Nathan W. Pyle</t>
  </si>
  <si>
    <t>StrengthsFinder 2.0</t>
  </si>
  <si>
    <t>Gallup</t>
  </si>
  <si>
    <t>Super Freakonomics: Global Cooling, Patriotic Prostitutes, and Why Suicide Bombers Should Buy Life Insurance</t>
  </si>
  <si>
    <t>Steven D. Levitt</t>
  </si>
  <si>
    <t>Switch: How to Change Things When Change Is Hard</t>
  </si>
  <si>
    <t>Chip Heath</t>
  </si>
  <si>
    <t>Sycamore Row (Jake Brigance)</t>
  </si>
  <si>
    <t>John Grisham</t>
  </si>
  <si>
    <t>Teach Like a Champion: 49 Techniques that Put Students on the Path to College</t>
  </si>
  <si>
    <t>Doug Lemov</t>
  </si>
  <si>
    <t>The 17 Day Diet: A Doctor's Plan Designed for Rapid Results</t>
  </si>
  <si>
    <t>Mike Moreno</t>
  </si>
  <si>
    <t>The 4 Hour Body: An Uncommon Guide to Rapid Fat Loss, Incredible Sex and Becoming Superhuman</t>
  </si>
  <si>
    <t>Timothy Ferriss</t>
  </si>
  <si>
    <t>The 5 Love Languages: The Secret to Love That Lasts</t>
  </si>
  <si>
    <t>Gary Chapman</t>
  </si>
  <si>
    <t>The 5 Love Languages: The Secret to Love that Lasts</t>
  </si>
  <si>
    <t>The 5000 Year Leap</t>
  </si>
  <si>
    <t>W. Cleon Skousen</t>
  </si>
  <si>
    <t>The 7 Habits of Highly Effective People: Powerful Lessons in Personal Change</t>
  </si>
  <si>
    <t>Stephen R. Covey</t>
  </si>
  <si>
    <t>The Alchemist</t>
  </si>
  <si>
    <t>Paulo Coelho</t>
  </si>
  <si>
    <t>The Amateur</t>
  </si>
  <si>
    <t>Edward Klein</t>
  </si>
  <si>
    <t>The Art of Racing in the Rain: A Novel</t>
  </si>
  <si>
    <t>Garth Stein</t>
  </si>
  <si>
    <t>The Big Short: Inside the Doomsday Machine</t>
  </si>
  <si>
    <t>Michael Lewis</t>
  </si>
  <si>
    <t>The Blood of Olympus (The Heroes of Olympus (5))</t>
  </si>
  <si>
    <t>The Blood Sugar Solution: The UltraHealthy Program for Losing Weight, Preventing Disease, and Feeling Great Now!</t>
  </si>
  <si>
    <t>Mark Hyman M.D.</t>
  </si>
  <si>
    <t>The Body Keeps the Score: Brain, Mind, and Body in the Healing of Trauma</t>
  </si>
  <si>
    <t>Bessel van der Kolk M.D.</t>
  </si>
  <si>
    <t>The Book of Basketball: The NBA According to The Sports Guy</t>
  </si>
  <si>
    <t>Bill Simmons</t>
  </si>
  <si>
    <t>The Book Thief</t>
  </si>
  <si>
    <t>Markus Zusak</t>
  </si>
  <si>
    <t>The Book with No Pictures</t>
  </si>
  <si>
    <t>B. J. Novak</t>
  </si>
  <si>
    <t>The Boys in the Boat: Nine Americans and Their Epic Quest for Gold at the 1936 Berlin Olympics</t>
  </si>
  <si>
    <t>Daniel James Brown</t>
  </si>
  <si>
    <t>The Casual Vacancy</t>
  </si>
  <si>
    <t>The China Study: The Most Comprehensive Study of Nutrition Ever Conducted And the Startling Implications for Diet…</t>
  </si>
  <si>
    <t>Thomas Campbell</t>
  </si>
  <si>
    <t>The Complete Ketogenic Diet for Beginners: Your Essential Guide to Living the Keto Lifestyle</t>
  </si>
  <si>
    <t>Amy Ramos</t>
  </si>
  <si>
    <t>The Confession: A Novel</t>
  </si>
  <si>
    <t>The Constitution of the United States</t>
  </si>
  <si>
    <t>Delegates of the Constitutional</t>
  </si>
  <si>
    <t>The Daily Show with Jon Stewart Presents Earth (The Book): A Visitor's Guide to the Human Race</t>
  </si>
  <si>
    <t>Jon Stewart</t>
  </si>
  <si>
    <t>The Day the Crayons Quit</t>
  </si>
  <si>
    <t>Drew Daywalt</t>
  </si>
  <si>
    <t>The Dukan Diet: 2 Steps to Lose the Weight, 2 Steps to Keep It Off Forever</t>
  </si>
  <si>
    <t>Pierre Dukan</t>
  </si>
  <si>
    <t>The Elegance of the Hedgehog</t>
  </si>
  <si>
    <t>Muriel Barbery</t>
  </si>
  <si>
    <t>The Fault in Our Stars</t>
  </si>
  <si>
    <t>The Five Dysfunctions of a Team: A Leadership Fable</t>
  </si>
  <si>
    <t>Patrick Lencioni</t>
  </si>
  <si>
    <t>The Five Love Languages: How to Express Heartfelt Commitment to Your Mate</t>
  </si>
  <si>
    <t>The Four Agreements: A Practical Guide to Personal Freedom (A Toltec Wisdom Book)</t>
  </si>
  <si>
    <t>Don Miguel Ruiz</t>
  </si>
  <si>
    <t>The Getaway</t>
  </si>
  <si>
    <t>The Girl on the Train</t>
  </si>
  <si>
    <t>Paula Hawkins</t>
  </si>
  <si>
    <t>The Girl Who Kicked the Hornet's Nest (Millennium Trilogy)</t>
  </si>
  <si>
    <t>Stieg Larsson</t>
  </si>
  <si>
    <t>The Girl Who Played with Fire (Millennium Series)</t>
  </si>
  <si>
    <t>The Girl Who Played with Fire (Millennium)</t>
  </si>
  <si>
    <t>The Girl with the Dragon Tattoo (Millennium Series)</t>
  </si>
  <si>
    <t>The Going-To-Bed Book</t>
  </si>
  <si>
    <t>Sandra Boynton</t>
  </si>
  <si>
    <t>The Goldfinch: A Novel (Pulitzer Prize for Fiction)</t>
  </si>
  <si>
    <t>Donna Tartt</t>
  </si>
  <si>
    <t>The Great Gatsby</t>
  </si>
  <si>
    <t>F. Scott Fitzgerald</t>
  </si>
  <si>
    <t>The Guardians: A Novel</t>
  </si>
  <si>
    <t>The Guernsey Literary and Potato Peel Pie Society</t>
  </si>
  <si>
    <t>Mary Ann Shaffer</t>
  </si>
  <si>
    <t>The Handmaid's Tale</t>
  </si>
  <si>
    <t>Margaret Atwood</t>
  </si>
  <si>
    <t>The Harbinger: The Ancient Mystery that Holds the Secret of America's Future</t>
  </si>
  <si>
    <t>Jonathan Cahn</t>
  </si>
  <si>
    <t>The Hate U Give</t>
  </si>
  <si>
    <t>Angie Thomas</t>
  </si>
  <si>
    <t>The Help</t>
  </si>
  <si>
    <t>Kathryn Stockett</t>
  </si>
  <si>
    <t>The House of Hades (Heroes of Olympus, Book 4)</t>
  </si>
  <si>
    <t>The Hunger Games</t>
  </si>
  <si>
    <t>The Hunger Games (Book 1)</t>
  </si>
  <si>
    <t>The Hunger Games Trilogy Boxed Set (1)</t>
  </si>
  <si>
    <t>The Immortal Life of Henrietta Lacks</t>
  </si>
  <si>
    <t>Rebecca Skloot</t>
  </si>
  <si>
    <t>The Instant Pot Electric Pressure Cooker Cookbook: Easy Recipes for Fast &amp; Healthy Meals</t>
  </si>
  <si>
    <t>Laurel Randolph</t>
  </si>
  <si>
    <t>The Last Lecture</t>
  </si>
  <si>
    <t>Randy Pausch</t>
  </si>
  <si>
    <t>The Last Olympian (Percy Jackson and the Olympians, Book 5)</t>
  </si>
  <si>
    <t>The Legend of Zelda: Hyrule Historia</t>
  </si>
  <si>
    <t>Patrick Thorpe</t>
  </si>
  <si>
    <t>The Lego Ideas Book: Unlock Your Imagination</t>
  </si>
  <si>
    <t>Daniel Lipkowitz</t>
  </si>
  <si>
    <t>The Life-Changing Magic of Tidying Up: The Japanese Art of Decluttering and Organizing</t>
  </si>
  <si>
    <t>Marie Kondō</t>
  </si>
  <si>
    <t>The Litigators</t>
  </si>
  <si>
    <t>The Lost Hero (Heroes of Olympus, Book 1)</t>
  </si>
  <si>
    <t>The Lost Symbol</t>
  </si>
  <si>
    <t>The Love Dare</t>
  </si>
  <si>
    <t>Stephen Kendrick</t>
  </si>
  <si>
    <t>The Magnolia Story</t>
  </si>
  <si>
    <t>Chip Gaines</t>
  </si>
  <si>
    <t>The Mark of Athena (Heroes of Olympus, Book 3)</t>
  </si>
  <si>
    <t>The Martian</t>
  </si>
  <si>
    <t>Andy Weir</t>
  </si>
  <si>
    <t>The Maze Runner (Book 1)</t>
  </si>
  <si>
    <t>James Dashner</t>
  </si>
  <si>
    <t>The Meltdown (Diary of a Wimpy Kid Book 13)</t>
  </si>
  <si>
    <t>The Mueller Report</t>
  </si>
  <si>
    <t>The Washington Post</t>
  </si>
  <si>
    <t>The Nightingale: A Novel</t>
  </si>
  <si>
    <t>Kristin Hannah</t>
  </si>
  <si>
    <t>The Official SAT Study Guide</t>
  </si>
  <si>
    <t>The College Board</t>
  </si>
  <si>
    <t>The Official SAT Study Guide, 2016 Edition (Official Study Guide for the New Sat)</t>
  </si>
  <si>
    <t>The Paris Wife: A Novel</t>
  </si>
  <si>
    <t>Paula McLain</t>
  </si>
  <si>
    <t>The Pioneer Woman Cooks: A Year of Holidays: 140 Step-by-Step Recipes for Simple, Scrumptious Celebrations</t>
  </si>
  <si>
    <t>Ree Drummond</t>
  </si>
  <si>
    <t>The Pioneer Woman Cooks: Dinnertime - Comfort Classics, Freezer Food, 16-minute Meals, and Other Delicious Ways to Solve…</t>
  </si>
  <si>
    <t>The Pioneer Woman Cooks: Food from My Frontier</t>
  </si>
  <si>
    <t>The Plant Paradox Cookbook: 100 Delicious Recipes to Help You Lose Weight, Heal Your Gut, and Live Lectin-Free</t>
  </si>
  <si>
    <t>Dr. Steven R Gundry MD</t>
  </si>
  <si>
    <t>The Plant Paradox: The Hidden Dangers in "Healthy" Foods That Cause Disease and Weight Gain</t>
  </si>
  <si>
    <t>The Pout-Pout Fish</t>
  </si>
  <si>
    <t>Deborah Diesen</t>
  </si>
  <si>
    <t>The Power of Habit: Why We Do What We Do in Life and Business</t>
  </si>
  <si>
    <t>Charles Duhigg</t>
  </si>
  <si>
    <t>The President Is Missing: A Novel</t>
  </si>
  <si>
    <t>The Racketeer</t>
  </si>
  <si>
    <t>The Red Pyramid (The Kane Chronicles, Book 1)</t>
  </si>
  <si>
    <t>The Road to Serfdom: Text and Documents--The Definitive Edition (The Collected Works of F. A. Hayek, Volume 2)</t>
  </si>
  <si>
    <t>F. A. Hayek</t>
  </si>
  <si>
    <t>The Serpent's Shadow (The Kane Chronicles, Book 3)</t>
  </si>
  <si>
    <t>The Shack: Where Tragedy Confronts Eternity</t>
  </si>
  <si>
    <t>William P. Young</t>
  </si>
  <si>
    <t>The Short Second Life of Bree Tanner: An Eclipse Novella (The Twilight Saga)</t>
  </si>
  <si>
    <t>The Silent Patient</t>
  </si>
  <si>
    <t>Alex Michaelides</t>
  </si>
  <si>
    <t>The Son of Neptune (Heroes of Olympus, Book 2)</t>
  </si>
  <si>
    <t>The Subtle Art of Not Giving a F*ck: A Counterintuitive Approach to Living a Good Life</t>
  </si>
  <si>
    <t>Mark Manson</t>
  </si>
  <si>
    <t>The Sun and Her Flowers</t>
  </si>
  <si>
    <t>The Third Wheel (Diary of a Wimpy Kid, Book 7)</t>
  </si>
  <si>
    <t>The Throne of Fire (The Kane Chronicles, Book 2)</t>
  </si>
  <si>
    <t>The Time Traveler's Wife</t>
  </si>
  <si>
    <t>Audrey Niffenegger</t>
  </si>
  <si>
    <t>The Tipping Point: How Little Things Can Make a Big Difference</t>
  </si>
  <si>
    <t>The Total Money Makeover: Classic Edition: A Proven Plan for Financial Fitness</t>
  </si>
  <si>
    <t>Dave Ramsey</t>
  </si>
  <si>
    <t>The Twilight Saga Collection</t>
  </si>
  <si>
    <t>The Ugly Truth (Diary of a Wimpy Kid, Book 5)</t>
  </si>
  <si>
    <t>The Unofficial Harry Potter Cookbook: From Cauldron Cakes to Knickerbocker Glory--More Than 150 Magical Recipes for…</t>
  </si>
  <si>
    <t>Dinah Bucholz</t>
  </si>
  <si>
    <t>The Very Hungry Caterpillar</t>
  </si>
  <si>
    <t>Eric Carle</t>
  </si>
  <si>
    <t>The Whole30: The 30-Day Guide to Total Health and Food Freedom</t>
  </si>
  <si>
    <t>Melissa Hartwig Urban</t>
  </si>
  <si>
    <t>The Wonderful Things You Will Be</t>
  </si>
  <si>
    <t>Emily Winfield Martin</t>
  </si>
  <si>
    <t>The Wonky Donkey</t>
  </si>
  <si>
    <t>Craig Smith</t>
  </si>
  <si>
    <t>The Wright Brothers</t>
  </si>
  <si>
    <t>David McCullough</t>
  </si>
  <si>
    <t>Things That Matter: Three Decades of Passions, Pastimes and Politics [Deckled Edge]</t>
  </si>
  <si>
    <t>Charles Krauthammer</t>
  </si>
  <si>
    <t>Thinking, Fast and Slow</t>
  </si>
  <si>
    <t>Daniel Kahneman</t>
  </si>
  <si>
    <t>Thirteen Reasons Why</t>
  </si>
  <si>
    <t>Jay Asher</t>
  </si>
  <si>
    <t>Thomas Jefferson: The Art of Power</t>
  </si>
  <si>
    <t>Jon Meacham</t>
  </si>
  <si>
    <t>Three Cups of Tea: One Man's Mission to Promote Peace - One School at a Time</t>
  </si>
  <si>
    <t>Greg Mortenson</t>
  </si>
  <si>
    <t>Thug Kitchen: The Official Cookbook: Eat Like You Give a F*ck (Thug Kitchen Cookbooks)</t>
  </si>
  <si>
    <t>Thug Kitchen</t>
  </si>
  <si>
    <t>Tina Fey: Bossypants</t>
  </si>
  <si>
    <t>Tina Fey</t>
  </si>
  <si>
    <t>To Kill a Mockingbird</t>
  </si>
  <si>
    <t>Tools of Titans: The Tactics, Routines, and Habits of Billionaires, Icons, and World-Class Performers</t>
  </si>
  <si>
    <t>Towers of Midnight (Wheel of Time, Book Thirteen)</t>
  </si>
  <si>
    <t>Robert Jordan</t>
  </si>
  <si>
    <t>True Compass: A Memoir</t>
  </si>
  <si>
    <t>Edward M. Kennedy</t>
  </si>
  <si>
    <t>Twilight (The Twilight Saga, Book 1)</t>
  </si>
  <si>
    <t>Ultimate Sticker Book: Frozen: More Than 60 Reusable Full-Color Stickers</t>
  </si>
  <si>
    <t>Unbroken: A World War II Story of Survival, Resilience, and Redemption</t>
  </si>
  <si>
    <t>Laura Hillenbrand</t>
  </si>
  <si>
    <t>Under the Dome: A Novel</t>
  </si>
  <si>
    <t>Unfreedom of the Press</t>
  </si>
  <si>
    <t>Unicorn Coloring Book: For Kids Ages 4-8 (US Edition) (Silly Bear Coloring Books)</t>
  </si>
  <si>
    <t>Silly Bear</t>
  </si>
  <si>
    <t>Uninvited: Living Loved When You Feel Less Than, Left Out, and Lonely</t>
  </si>
  <si>
    <t>Watchmen</t>
  </si>
  <si>
    <t>Alan Moore</t>
  </si>
  <si>
    <t>Water for Elephants: A Novel</t>
  </si>
  <si>
    <t>Sara Gruen</t>
  </si>
  <si>
    <t>What Happened</t>
  </si>
  <si>
    <t>Hillary Rodham Clinton</t>
  </si>
  <si>
    <t>What If?: Serious Scientific Answers to Absurd Hypothetical Questions</t>
  </si>
  <si>
    <t>Randall Munroe</t>
  </si>
  <si>
    <t>What Pet Should I Get? (Classic Seuss)</t>
  </si>
  <si>
    <t>What Should Danny Do? (The Power to Choose Series)</t>
  </si>
  <si>
    <t>Adir Levy</t>
  </si>
  <si>
    <t>What to Expect When You're Expecting</t>
  </si>
  <si>
    <t>Heidi Murkoff</t>
  </si>
  <si>
    <t>Wheat Belly: Lose the Wheat, Lose the Weight, and Find Your Path Back to Health</t>
  </si>
  <si>
    <t>William Davis</t>
  </si>
  <si>
    <t>When Breath Becomes Air</t>
  </si>
  <si>
    <t>Paul Kalanithi</t>
  </si>
  <si>
    <t>Where the Crawdads Sing</t>
  </si>
  <si>
    <t>Delia Owens</t>
  </si>
  <si>
    <t>Where the Wild Things Are</t>
  </si>
  <si>
    <t>Maurice Sendak</t>
  </si>
  <si>
    <t>Whose Boat Is This Boat?: Comments That Don't Help in the Aftermath of a Hurricane</t>
  </si>
  <si>
    <t>The Staff of The Late Show with</t>
  </si>
  <si>
    <t>Wild: From Lost to Found on the Pacific Crest Trail</t>
  </si>
  <si>
    <t>Cheryl Strayed</t>
  </si>
  <si>
    <t>Winter of the World: Book Two of the Century Trilogy</t>
  </si>
  <si>
    <t>Ken Follett</t>
  </si>
  <si>
    <t>Women Food and God: An Unexpected Path to Almost Everything</t>
  </si>
  <si>
    <t>Geneen Roth</t>
  </si>
  <si>
    <t>Wonder</t>
  </si>
  <si>
    <t>R. J. Palacio</t>
  </si>
  <si>
    <t>Wrecking Ball (Diary of a Wimpy Kid Book 14)</t>
  </si>
  <si>
    <t>You Are a Badass: How to Stop Doubting Your Greatness and Start Living an Awesome Life</t>
  </si>
  <si>
    <t>Jen Sincero</t>
  </si>
  <si>
    <t>Sales_Per_Reviews</t>
  </si>
  <si>
    <t>Recommended</t>
  </si>
  <si>
    <t>Suma de Sales_Per_Reviews</t>
  </si>
  <si>
    <t>Cuenta de Genre</t>
  </si>
  <si>
    <t>Media</t>
  </si>
  <si>
    <t>Error típico</t>
  </si>
  <si>
    <t>Mediana</t>
  </si>
  <si>
    <t>Moda</t>
  </si>
  <si>
    <t>Desviación estándar</t>
  </si>
  <si>
    <t>Varianza de la muestra</t>
  </si>
  <si>
    <t>Curtosis</t>
  </si>
  <si>
    <t>Coeficiente de asimetría</t>
  </si>
  <si>
    <t>Rango</t>
  </si>
  <si>
    <t>Mínimo</t>
  </si>
  <si>
    <t>Máximo</t>
  </si>
  <si>
    <t>Suma</t>
  </si>
  <si>
    <t>Cuenta</t>
  </si>
  <si>
    <t>Etiquetas de fila</t>
  </si>
  <si>
    <t>Total general</t>
  </si>
  <si>
    <t>Precio medio de libro por año</t>
  </si>
  <si>
    <t>Libro más vendido por año</t>
  </si>
  <si>
    <t>Libro peor valorado</t>
  </si>
  <si>
    <t>Máx. de Reviews</t>
  </si>
  <si>
    <t>Promedio de Price</t>
  </si>
  <si>
    <t>Máx. de User Rating</t>
  </si>
  <si>
    <t>Libros Mejor valorados</t>
  </si>
  <si>
    <t>Estimación de Ganancias por autor</t>
  </si>
  <si>
    <t>Mín. de User Rating</t>
  </si>
  <si>
    <t>preguntar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</si>
</sst>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"/>
    <numFmt numFmtId="165" formatCode="_-[$€-2]\ * #,##0.00_-;\-[$€-2]\ * #,##0.00_-;_-[$€-2]\ * &quot;-&quot;??_-;_-@_-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22"/>
      <color theme="0" tint="-4.9989318521683403E-2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6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1" tint="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2" xfId="0" applyBorder="1"/>
    <xf numFmtId="0" fontId="2" fillId="0" borderId="3" xfId="0" applyFont="1" applyBorder="1" applyAlignment="1">
      <alignment horizontal="centerContinuous"/>
    </xf>
    <xf numFmtId="0" fontId="0" fillId="0" borderId="0" xfId="0" applyAlignment="1">
      <alignment horizontal="left"/>
    </xf>
    <xf numFmtId="10" fontId="0" fillId="0" borderId="0" xfId="0" applyNumberFormat="1"/>
    <xf numFmtId="164" fontId="1" fillId="2" borderId="1" xfId="0" applyNumberFormat="1" applyFont="1" applyFill="1" applyBorder="1"/>
    <xf numFmtId="164" fontId="1" fillId="2" borderId="4" xfId="0" applyNumberFormat="1" applyFont="1" applyFill="1" applyBorder="1"/>
    <xf numFmtId="0" fontId="0" fillId="3" borderId="0" xfId="0" applyFill="1"/>
    <xf numFmtId="2" fontId="0" fillId="0" borderId="0" xfId="0" applyNumberFormat="1"/>
    <xf numFmtId="49" fontId="0" fillId="0" borderId="0" xfId="0" applyNumberFormat="1"/>
    <xf numFmtId="1" fontId="0" fillId="0" borderId="0" xfId="0" applyNumberFormat="1"/>
    <xf numFmtId="0" fontId="0" fillId="0" borderId="0" xfId="0" applyAlignment="1">
      <alignment horizontal="left" indent="1"/>
    </xf>
    <xf numFmtId="165" fontId="0" fillId="0" borderId="0" xfId="0" applyNumberFormat="1"/>
    <xf numFmtId="0" fontId="5" fillId="3" borderId="0" xfId="0" applyFont="1" applyFill="1"/>
    <xf numFmtId="0" fontId="6" fillId="3" borderId="0" xfId="0" applyFont="1" applyFill="1"/>
    <xf numFmtId="0" fontId="7" fillId="3" borderId="0" xfId="0" applyFont="1" applyFill="1"/>
    <xf numFmtId="0" fontId="3" fillId="3" borderId="0" xfId="0" applyFont="1" applyFill="1"/>
    <xf numFmtId="0" fontId="4" fillId="3" borderId="0" xfId="0" applyFont="1" applyFill="1"/>
    <xf numFmtId="0" fontId="0" fillId="0" borderId="0" xfId="0" applyNumberFormat="1"/>
  </cellXfs>
  <cellStyles count="1">
    <cellStyle name="Normal" xfId="0" builtinId="0"/>
  </cellStyles>
  <dxfs count="20">
    <dxf>
      <numFmt numFmtId="164" formatCode="#,##0.00\ &quot;€&quot;"/>
    </dxf>
    <dxf>
      <numFmt numFmtId="165" formatCode="_-[$€-2]\ * #,##0.00_-;\-[$€-2]\ * #,##0.00_-;_-[$€-2]\ * &quot;-&quot;??_-;_-@_-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4" formatCode="0.00%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0" formatCode="General"/>
    </dxf>
    <dxf>
      <numFmt numFmtId="164" formatCode="#,##0.00\ &quot;€&quot;"/>
    </dxf>
    <dxf>
      <numFmt numFmtId="0" formatCode="General"/>
    </dxf>
    <dxf>
      <numFmt numFmtId="164" formatCode="#,##0.00\ &quot;€&quot;"/>
    </dxf>
    <dxf>
      <numFmt numFmtId="0" formatCode="General"/>
    </dxf>
    <dxf>
      <numFmt numFmtId="0" formatCode="General"/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4" tint="-0.24994659260841701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[amazon_top50_bestselling_books_2009-2019 (Reparado).xlsx]Fiction vs Non Fiction!TablaDinámica32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Cuenta de Genre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'Fiction vs Non Fiction'!$B$3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'Fiction vs Non Fiction'!$A$4:$A$5</c:f>
              <c:strCache>
                <c:ptCount val="2"/>
                <c:pt idx="0">
                  <c:v>Fiction</c:v>
                </c:pt>
                <c:pt idx="1">
                  <c:v>Non Fiction</c:v>
                </c:pt>
              </c:strCache>
            </c:strRef>
          </c:cat>
          <c:val>
            <c:numRef>
              <c:f>'Fiction vs Non Fiction'!$B$4:$B$5</c:f>
              <c:numCache>
                <c:formatCode>0.00%</c:formatCode>
                <c:ptCount val="2"/>
                <c:pt idx="0">
                  <c:v>0.43636363636363634</c:v>
                </c:pt>
                <c:pt idx="1">
                  <c:v>0.5636363636363636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85-485E-9E25-9D195B96DE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9261968"/>
        <c:axId val="1909261552"/>
      </c:barChart>
      <c:catAx>
        <c:axId val="1909261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09261552"/>
        <c:crosses val="autoZero"/>
        <c:auto val="1"/>
        <c:lblAlgn val="ctr"/>
        <c:lblOffset val="100"/>
        <c:noMultiLvlLbl val="0"/>
      </c:catAx>
      <c:valAx>
        <c:axId val="190926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09261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Suma de Sales_Per_Reviews por Genre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Fiction</c:v>
              </c:pt>
              <c:pt idx="1">
                <c:v>Non Fiction</c:v>
              </c:pt>
            </c:strLit>
          </c:cat>
          <c:val>
            <c:numLit>
              <c:formatCode>General</c:formatCode>
              <c:ptCount val="2"/>
              <c:pt idx="0">
                <c:v>41452867</c:v>
              </c:pt>
              <c:pt idx="1">
                <c:v>37046531</c:v>
              </c:pt>
            </c:numLit>
          </c:val>
          <c:extLst>
            <c:ext xmlns:c16="http://schemas.microsoft.com/office/drawing/2014/chart" uri="{C3380CC4-5D6E-409C-BE32-E72D297353CC}">
              <c16:uniqueId val="{00000000-CC45-4307-9393-71F780BB6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3101408"/>
        <c:axId val="1173101824"/>
      </c:barChart>
      <c:catAx>
        <c:axId val="1173101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73101824"/>
        <c:crosses val="autoZero"/>
        <c:auto val="1"/>
        <c:lblAlgn val="ctr"/>
        <c:lblOffset val="100"/>
        <c:noMultiLvlLbl val="0"/>
      </c:catAx>
      <c:valAx>
        <c:axId val="117310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73101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[amazon_top50_bestselling_books_2009-2019 (Reparado).xlsx]Tablas dinámicas!TablaDinámica36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dinámicas'!$B$3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'Tablas dinámicas'!$A$4:$A$15</c:f>
              <c:strCache>
                <c:ptCount val="11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</c:strCache>
            </c:strRef>
          </c:cat>
          <c:val>
            <c:numRef>
              <c:f>'Tablas dinámicas'!$B$4:$B$15</c:f>
              <c:numCache>
                <c:formatCode>0.00%</c:formatCode>
                <c:ptCount val="11"/>
                <c:pt idx="0">
                  <c:v>4.5443431298670595E-2</c:v>
                </c:pt>
                <c:pt idx="1">
                  <c:v>4.6121487453954745E-2</c:v>
                </c:pt>
                <c:pt idx="2">
                  <c:v>7.0684478370139858E-2</c:v>
                </c:pt>
                <c:pt idx="3">
                  <c:v>0.1137514328453831</c:v>
                </c:pt>
                <c:pt idx="4">
                  <c:v>0.1060081887506959</c:v>
                </c:pt>
                <c:pt idx="5">
                  <c:v>0.13535772592803832</c:v>
                </c:pt>
                <c:pt idx="6">
                  <c:v>9.866527893627923E-2</c:v>
                </c:pt>
                <c:pt idx="7">
                  <c:v>0.1012941525997435</c:v>
                </c:pt>
                <c:pt idx="8">
                  <c:v>8.4958549618431467E-2</c:v>
                </c:pt>
                <c:pt idx="9">
                  <c:v>9.1511211334385015E-2</c:v>
                </c:pt>
                <c:pt idx="10">
                  <c:v>0.10620406286427828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A8-4A36-94B4-FB5316985E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899776"/>
        <c:axId val="122901024"/>
      </c:barChart>
      <c:catAx>
        <c:axId val="122899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2901024"/>
        <c:crosses val="autoZero"/>
        <c:auto val="1"/>
        <c:lblAlgn val="ctr"/>
        <c:lblOffset val="100"/>
        <c:noMultiLvlLbl val="0"/>
      </c:catAx>
      <c:valAx>
        <c:axId val="12290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2899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[amazon_top50_bestselling_books_2009-2019 (Reparado).xlsx]Tablas dinámicas insights!TablaDinámica5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'Tablas dinámicas insights'!$F$4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'Tablas dinámicas insights'!$E$5:$E$33</c:f>
              <c:strCache>
                <c:ptCount val="28"/>
                <c:pt idx="0">
                  <c:v>Brown Bear, Brown Bear, What Do You See?</c:v>
                </c:pt>
                <c:pt idx="1">
                  <c:v>Dog Man and Cat Kid: From the Creator of Captain Underpants (Dog Man #4)</c:v>
                </c:pt>
                <c:pt idx="2">
                  <c:v>Dog Man: A Tale of Two Kitties: From the Creator of Captain Underpants (Dog Man #3)</c:v>
                </c:pt>
                <c:pt idx="3">
                  <c:v>Dog Man: Brawl of the Wild: From the Creator of Captain Underpants (Dog Man #6)</c:v>
                </c:pt>
                <c:pt idx="4">
                  <c:v>Dog Man: Fetch-22: From the Creator of Captain Underpants (Dog Man #8)</c:v>
                </c:pt>
                <c:pt idx="5">
                  <c:v>Dog Man: For Whom the Ball Rolls: From the Creator of Captain Underpants (Dog Man #7)</c:v>
                </c:pt>
                <c:pt idx="6">
                  <c:v>Dog Man: Lord of the Fleas: From the Creator of Captain Underpants (Dog Man #5)</c:v>
                </c:pt>
                <c:pt idx="7">
                  <c:v>Goodnight, Goodnight Construction Site (Hardcover Books for Toddlers, Preschool Books for Kids)</c:v>
                </c:pt>
                <c:pt idx="8">
                  <c:v>Hamilton: The Revolution</c:v>
                </c:pt>
                <c:pt idx="9">
                  <c:v>Harry Potter and the Chamber of Secrets: The Illustrated Edition (Harry Potter, Book 2)</c:v>
                </c:pt>
                <c:pt idx="10">
                  <c:v>Harry Potter and the Goblet of Fire: The Illustrated Edition (Harry Potter, Book 4) (4)</c:v>
                </c:pt>
                <c:pt idx="11">
                  <c:v>Harry Potter and the Prisoner of Azkaban: The Illustrated Edition (Harry Potter, Book 3)</c:v>
                </c:pt>
                <c:pt idx="12">
                  <c:v>Harry Potter and the Sorcerer's Stone: The Illustrated Edition (Harry Potter, Book 1)</c:v>
                </c:pt>
                <c:pt idx="13">
                  <c:v>Humans of New York : Stories</c:v>
                </c:pt>
                <c:pt idx="14">
                  <c:v>Jesus Calling: Enjoying Peace in His Presence (with Scripture References)</c:v>
                </c:pt>
                <c:pt idx="15">
                  <c:v>Last Week Tonight with John Oliver Presents A Day in the Life of Marlon Bundo (Better Bundo Book, LGBT Childrens Book)</c:v>
                </c:pt>
                <c:pt idx="16">
                  <c:v>Little Blue Truck</c:v>
                </c:pt>
                <c:pt idx="17">
                  <c:v>Obama: An Intimate Portrait</c:v>
                </c:pt>
                <c:pt idx="18">
                  <c:v>Oh, the Places You'll Go!</c:v>
                </c:pt>
                <c:pt idx="19">
                  <c:v>Rush Revere and the Brave Pilgrims: Time-Travel Adventures with Exceptional Americans (1)</c:v>
                </c:pt>
                <c:pt idx="20">
                  <c:v>Rush Revere and the First Patriots: Time-Travel Adventures With Exceptional Americans (2)</c:v>
                </c:pt>
                <c:pt idx="21">
                  <c:v>Strange Planet (Strange Planet Series)</c:v>
                </c:pt>
                <c:pt idx="22">
                  <c:v>The Legend of Zelda: Hyrule Historia</c:v>
                </c:pt>
                <c:pt idx="23">
                  <c:v>The Magnolia Story</c:v>
                </c:pt>
                <c:pt idx="24">
                  <c:v>The Very Hungry Caterpillar</c:v>
                </c:pt>
                <c:pt idx="25">
                  <c:v>The Wonderful Things You Will Be</c:v>
                </c:pt>
                <c:pt idx="26">
                  <c:v>Unfreedom of the Press</c:v>
                </c:pt>
                <c:pt idx="27">
                  <c:v>Wrecking Ball (Diary of a Wimpy Kid Book 14)</c:v>
                </c:pt>
              </c:strCache>
            </c:strRef>
          </c:cat>
          <c:val>
            <c:numRef>
              <c:f>'Tablas dinámicas insights'!$F$5:$F$33</c:f>
              <c:numCache>
                <c:formatCode>General</c:formatCode>
                <c:ptCount val="28"/>
                <c:pt idx="0">
                  <c:v>49</c:v>
                </c:pt>
                <c:pt idx="1">
                  <c:v>49</c:v>
                </c:pt>
                <c:pt idx="2">
                  <c:v>49</c:v>
                </c:pt>
                <c:pt idx="3">
                  <c:v>49</c:v>
                </c:pt>
                <c:pt idx="4">
                  <c:v>49</c:v>
                </c:pt>
                <c:pt idx="5">
                  <c:v>49</c:v>
                </c:pt>
                <c:pt idx="6">
                  <c:v>49</c:v>
                </c:pt>
                <c:pt idx="7">
                  <c:v>49</c:v>
                </c:pt>
                <c:pt idx="8">
                  <c:v>49</c:v>
                </c:pt>
                <c:pt idx="9">
                  <c:v>49</c:v>
                </c:pt>
                <c:pt idx="10">
                  <c:v>49</c:v>
                </c:pt>
                <c:pt idx="11">
                  <c:v>49</c:v>
                </c:pt>
                <c:pt idx="12">
                  <c:v>49</c:v>
                </c:pt>
                <c:pt idx="13">
                  <c:v>49</c:v>
                </c:pt>
                <c:pt idx="14">
                  <c:v>49</c:v>
                </c:pt>
                <c:pt idx="15">
                  <c:v>49</c:v>
                </c:pt>
                <c:pt idx="16">
                  <c:v>49</c:v>
                </c:pt>
                <c:pt idx="17">
                  <c:v>49</c:v>
                </c:pt>
                <c:pt idx="18">
                  <c:v>49</c:v>
                </c:pt>
                <c:pt idx="19">
                  <c:v>49</c:v>
                </c:pt>
                <c:pt idx="20">
                  <c:v>49</c:v>
                </c:pt>
                <c:pt idx="21">
                  <c:v>49</c:v>
                </c:pt>
                <c:pt idx="22">
                  <c:v>49</c:v>
                </c:pt>
                <c:pt idx="23">
                  <c:v>49</c:v>
                </c:pt>
                <c:pt idx="24">
                  <c:v>49</c:v>
                </c:pt>
                <c:pt idx="25">
                  <c:v>49</c:v>
                </c:pt>
                <c:pt idx="26">
                  <c:v>49</c:v>
                </c:pt>
                <c:pt idx="27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F7-4E6E-BD80-DEF4A6CF4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19272479"/>
        <c:axId val="719275391"/>
      </c:barChart>
      <c:catAx>
        <c:axId val="719272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19275391"/>
        <c:crosses val="autoZero"/>
        <c:auto val="1"/>
        <c:lblAlgn val="ctr"/>
        <c:lblOffset val="100"/>
        <c:noMultiLvlLbl val="0"/>
      </c:catAx>
      <c:valAx>
        <c:axId val="719275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19272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[amazon_top50_bestselling_books_2009-2019 (Reparado).xlsx]Tablas dinámicas insights!TablaDinámica6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'Tablas dinámicas insights'!$I$4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'Tablas dinámicas insights'!$H$5:$H$9</c:f>
              <c:strCache>
                <c:ptCount val="4"/>
                <c:pt idx="0">
                  <c:v>Gone Girl</c:v>
                </c:pt>
                <c:pt idx="1">
                  <c:v>Harry Potter and the Cursed Child, Parts 1 &amp; 2, Special Rehearsal Edition Script</c:v>
                </c:pt>
                <c:pt idx="2">
                  <c:v>StrengthsFinder 2.0</c:v>
                </c:pt>
                <c:pt idx="3">
                  <c:v>The Elegance of the Hedgehog</c:v>
                </c:pt>
              </c:strCache>
            </c:strRef>
          </c:cat>
          <c:val>
            <c:numRef>
              <c:f>'Tablas dinámicas insights'!$I$5:$I$9</c:f>
              <c:numCache>
                <c:formatCode>General</c:formatCode>
                <c:ptCount val="4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89-4342-8CD9-B33B63D9A0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96856063"/>
        <c:axId val="2096856895"/>
      </c:barChart>
      <c:catAx>
        <c:axId val="20968560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96856895"/>
        <c:crosses val="autoZero"/>
        <c:auto val="1"/>
        <c:lblAlgn val="ctr"/>
        <c:lblOffset val="100"/>
        <c:noMultiLvlLbl val="0"/>
      </c:catAx>
      <c:valAx>
        <c:axId val="2096856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96856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167640</xdr:rowOff>
    </xdr:from>
    <xdr:to>
      <xdr:col>5</xdr:col>
      <xdr:colOff>457200</xdr:colOff>
      <xdr:row>20</xdr:row>
      <xdr:rowOff>167640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F495A4F-20C6-68AF-1857-1D79682CDD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784860</xdr:colOff>
      <xdr:row>5</xdr:row>
      <xdr:rowOff>160020</xdr:rowOff>
    </xdr:from>
    <xdr:to>
      <xdr:col>11</xdr:col>
      <xdr:colOff>601980</xdr:colOff>
      <xdr:row>20</xdr:row>
      <xdr:rowOff>160020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B871DB6-D931-4F7B-BFDF-55BA715CE6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990600</xdr:colOff>
      <xdr:row>1</xdr:row>
      <xdr:rowOff>91440</xdr:rowOff>
    </xdr:from>
    <xdr:to>
      <xdr:col>7</xdr:col>
      <xdr:colOff>502920</xdr:colOff>
      <xdr:row>16</xdr:row>
      <xdr:rowOff>91440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2B8A087-C587-1CD1-F7C7-E056554A8A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1143000</xdr:colOff>
      <xdr:row>35</xdr:row>
      <xdr:rowOff>129988</xdr:rowOff>
    </xdr:from>
    <xdr:to>
      <xdr:col>4</xdr:col>
      <xdr:colOff>5715000</xdr:colOff>
      <xdr:row>51</xdr:row>
      <xdr:rowOff>4482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6A26597-53DE-DB0B-FC83-EBE0080689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1116106</xdr:colOff>
      <xdr:row>11</xdr:row>
      <xdr:rowOff>112059</xdr:rowOff>
    </xdr:from>
    <xdr:to>
      <xdr:col>8</xdr:col>
      <xdr:colOff>112058</xdr:colOff>
      <xdr:row>26</xdr:row>
      <xdr:rowOff>165847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1C6B6C2-4E42-C4D1-70DB-F6F09CEE1B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327660</xdr:colOff>
      <xdr:row>11</xdr:row>
      <xdr:rowOff>30480</xdr:rowOff>
    </xdr:from>
    <xdr:ext cx="184731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6CEF6EF8-0818-2D3F-1452-4933C2A8B6C4}"/>
            </a:ext>
          </a:extLst>
        </xdr:cNvPr>
        <xdr:cNvSpPr txBox="1"/>
      </xdr:nvSpPr>
      <xdr:spPr>
        <a:xfrm>
          <a:off x="2705100" y="20421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323455</xdr:colOff>
      <xdr:row>7</xdr:row>
      <xdr:rowOff>99060</xdr:rowOff>
    </xdr:from>
    <xdr:ext cx="4248000" cy="937629"/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EBF06A8C-871A-465A-C0B9-872643104D05}"/>
            </a:ext>
          </a:extLst>
        </xdr:cNvPr>
        <xdr:cNvSpPr/>
      </xdr:nvSpPr>
      <xdr:spPr>
        <a:xfrm>
          <a:off x="1115935" y="1379220"/>
          <a:ext cx="4248000" cy="937629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endParaRPr lang="es-ES" sz="5400" b="0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twoCellAnchor>
    <xdr:from>
      <xdr:col>4</xdr:col>
      <xdr:colOff>182880</xdr:colOff>
      <xdr:row>4</xdr:row>
      <xdr:rowOff>60960</xdr:rowOff>
    </xdr:from>
    <xdr:to>
      <xdr:col>8</xdr:col>
      <xdr:colOff>487680</xdr:colOff>
      <xdr:row>9</xdr:row>
      <xdr:rowOff>167640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18A67F97-ED05-10BB-16F9-CC8AF8D1E520}"/>
            </a:ext>
          </a:extLst>
        </xdr:cNvPr>
        <xdr:cNvSpPr/>
      </xdr:nvSpPr>
      <xdr:spPr>
        <a:xfrm>
          <a:off x="4968240" y="792480"/>
          <a:ext cx="4808220" cy="134874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ES" sz="4000"/>
            <a:t>TOP 50 BEST SELLING</a:t>
          </a:r>
          <a:r>
            <a:rPr lang="es-ES" sz="4000" baseline="0"/>
            <a:t> BOOKS 2009-2019</a:t>
          </a:r>
          <a:endParaRPr lang="es-ES" sz="4000"/>
        </a:p>
      </xdr:txBody>
    </xdr:sp>
    <xdr:clientData/>
  </xdr:twoCellAnchor>
  <xdr:twoCellAnchor>
    <xdr:from>
      <xdr:col>1</xdr:col>
      <xdr:colOff>83820</xdr:colOff>
      <xdr:row>12</xdr:row>
      <xdr:rowOff>83820</xdr:rowOff>
    </xdr:from>
    <xdr:to>
      <xdr:col>3</xdr:col>
      <xdr:colOff>1341120</xdr:colOff>
      <xdr:row>15</xdr:row>
      <xdr:rowOff>60960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3D85F448-BACE-4DFF-B6E2-2455EBECE768}"/>
            </a:ext>
          </a:extLst>
        </xdr:cNvPr>
        <xdr:cNvSpPr/>
      </xdr:nvSpPr>
      <xdr:spPr>
        <a:xfrm>
          <a:off x="876300" y="2606040"/>
          <a:ext cx="2842260" cy="52578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ES" sz="2400"/>
            <a:t>BESTSELLER</a:t>
          </a:r>
        </a:p>
      </xdr:txBody>
    </xdr:sp>
    <xdr:clientData/>
  </xdr:twoCellAnchor>
  <xdr:twoCellAnchor>
    <xdr:from>
      <xdr:col>3</xdr:col>
      <xdr:colOff>2019300</xdr:colOff>
      <xdr:row>12</xdr:row>
      <xdr:rowOff>91440</xdr:rowOff>
    </xdr:from>
    <xdr:to>
      <xdr:col>5</xdr:col>
      <xdr:colOff>327660</xdr:colOff>
      <xdr:row>15</xdr:row>
      <xdr:rowOff>68580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398F7C4B-4ADA-428C-AAF7-50A4484B17A0}"/>
            </a:ext>
          </a:extLst>
        </xdr:cNvPr>
        <xdr:cNvSpPr/>
      </xdr:nvSpPr>
      <xdr:spPr>
        <a:xfrm>
          <a:off x="4396740" y="2613660"/>
          <a:ext cx="2842260" cy="52578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ES" sz="2400"/>
            <a:t>MEDIA</a:t>
          </a:r>
        </a:p>
      </xdr:txBody>
    </xdr:sp>
    <xdr:clientData/>
  </xdr:twoCellAnchor>
  <xdr:twoCellAnchor>
    <xdr:from>
      <xdr:col>5</xdr:col>
      <xdr:colOff>739140</xdr:colOff>
      <xdr:row>12</xdr:row>
      <xdr:rowOff>83820</xdr:rowOff>
    </xdr:from>
    <xdr:to>
      <xdr:col>9</xdr:col>
      <xdr:colOff>411480</xdr:colOff>
      <xdr:row>15</xdr:row>
      <xdr:rowOff>60960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D0BC250F-3845-492D-913C-E8F1A648127F}"/>
            </a:ext>
          </a:extLst>
        </xdr:cNvPr>
        <xdr:cNvSpPr/>
      </xdr:nvSpPr>
      <xdr:spPr>
        <a:xfrm>
          <a:off x="7650480" y="2606040"/>
          <a:ext cx="2842260" cy="52578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ES" sz="2400"/>
            <a:t>BESTSELLER</a:t>
          </a:r>
        </a:p>
      </xdr:txBody>
    </xdr:sp>
    <xdr:clientData/>
  </xdr:twoCellAnchor>
  <xdr:twoCellAnchor>
    <xdr:from>
      <xdr:col>9</xdr:col>
      <xdr:colOff>739140</xdr:colOff>
      <xdr:row>12</xdr:row>
      <xdr:rowOff>99060</xdr:rowOff>
    </xdr:from>
    <xdr:to>
      <xdr:col>13</xdr:col>
      <xdr:colOff>411480</xdr:colOff>
      <xdr:row>15</xdr:row>
      <xdr:rowOff>76200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69A3FD87-22F2-4ACF-B0FA-BB1631CE5AAA}"/>
            </a:ext>
          </a:extLst>
        </xdr:cNvPr>
        <xdr:cNvSpPr/>
      </xdr:nvSpPr>
      <xdr:spPr>
        <a:xfrm>
          <a:off x="10820400" y="2621280"/>
          <a:ext cx="2842260" cy="52578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ES" sz="2400"/>
            <a:t>BESTSELLER</a:t>
          </a:r>
        </a:p>
      </xdr:txBody>
    </xdr:sp>
    <xdr:clientData/>
  </xdr:twoCellAnchor>
  <xdr:twoCellAnchor>
    <xdr:from>
      <xdr:col>1</xdr:col>
      <xdr:colOff>60960</xdr:colOff>
      <xdr:row>16</xdr:row>
      <xdr:rowOff>60960</xdr:rowOff>
    </xdr:from>
    <xdr:to>
      <xdr:col>3</xdr:col>
      <xdr:colOff>1287780</xdr:colOff>
      <xdr:row>19</xdr:row>
      <xdr:rowOff>83820</xdr:rowOff>
    </xdr:to>
    <xdr:sp macro="" textlink="'Tablas dinámicas insights'!A5:B5">
      <xdr:nvSpPr>
        <xdr:cNvPr id="9" name="Rectángulo 8">
          <a:extLst>
            <a:ext uri="{FF2B5EF4-FFF2-40B4-BE49-F238E27FC236}">
              <a16:creationId xmlns:a16="http://schemas.microsoft.com/office/drawing/2014/main" id="{6F5BEF3D-2132-418D-844D-C5FB0DF23D7E}"/>
            </a:ext>
          </a:extLst>
        </xdr:cNvPr>
        <xdr:cNvSpPr/>
      </xdr:nvSpPr>
      <xdr:spPr>
        <a:xfrm>
          <a:off x="853440" y="3314700"/>
          <a:ext cx="2811780" cy="571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353339DD-FB94-4C5A-8212-63840B2F29FE}" type="TxLink">
            <a:rPr lang="en-US" sz="18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Where the Crawdads Sing</a:t>
          </a:fld>
          <a:endParaRPr lang="es-ES" sz="1800"/>
        </a:p>
      </xdr:txBody>
    </xdr:sp>
    <xdr:clientData/>
  </xdr:twoCellAnchor>
  <xdr:twoCellAnchor>
    <xdr:from>
      <xdr:col>3</xdr:col>
      <xdr:colOff>2011680</xdr:colOff>
      <xdr:row>16</xdr:row>
      <xdr:rowOff>106680</xdr:rowOff>
    </xdr:from>
    <xdr:to>
      <xdr:col>5</xdr:col>
      <xdr:colOff>320040</xdr:colOff>
      <xdr:row>19</xdr:row>
      <xdr:rowOff>83820</xdr:rowOff>
    </xdr:to>
    <xdr:sp macro="" textlink="'Tablas dinámicas insights'!$C$5">
      <xdr:nvSpPr>
        <xdr:cNvPr id="10" name="Rectángulo 9">
          <a:extLst>
            <a:ext uri="{FF2B5EF4-FFF2-40B4-BE49-F238E27FC236}">
              <a16:creationId xmlns:a16="http://schemas.microsoft.com/office/drawing/2014/main" id="{52ABFEC6-0D82-45ED-91AC-DBB5E0F04B4C}"/>
            </a:ext>
          </a:extLst>
        </xdr:cNvPr>
        <xdr:cNvSpPr/>
      </xdr:nvSpPr>
      <xdr:spPr>
        <a:xfrm>
          <a:off x="4389120" y="3360420"/>
          <a:ext cx="2842260" cy="52578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E764A310-34DC-4CD2-929E-2FFCA26B1912}" type="TxLink">
            <a:rPr lang="en-US" sz="24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13,10 €</a:t>
          </a:fld>
          <a:endParaRPr lang="es-ES" sz="2400"/>
        </a:p>
      </xdr:txBody>
    </xdr:sp>
    <xdr:clientData/>
  </xdr:twoCellAnchor>
  <xdr:twoCellAnchor>
    <xdr:from>
      <xdr:col>5</xdr:col>
      <xdr:colOff>769620</xdr:colOff>
      <xdr:row>16</xdr:row>
      <xdr:rowOff>121920</xdr:rowOff>
    </xdr:from>
    <xdr:to>
      <xdr:col>9</xdr:col>
      <xdr:colOff>441960</xdr:colOff>
      <xdr:row>19</xdr:row>
      <xdr:rowOff>99060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4247C41A-7012-4734-9544-2F414ED37CC1}"/>
            </a:ext>
          </a:extLst>
        </xdr:cNvPr>
        <xdr:cNvSpPr/>
      </xdr:nvSpPr>
      <xdr:spPr>
        <a:xfrm>
          <a:off x="7680960" y="3375660"/>
          <a:ext cx="2842260" cy="52578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ES" sz="2400"/>
            <a:t>BESTSELLER</a:t>
          </a:r>
        </a:p>
      </xdr:txBody>
    </xdr:sp>
    <xdr:clientData/>
  </xdr:twoCellAnchor>
  <xdr:twoCellAnchor>
    <xdr:from>
      <xdr:col>10</xdr:col>
      <xdr:colOff>15240</xdr:colOff>
      <xdr:row>16</xdr:row>
      <xdr:rowOff>152400</xdr:rowOff>
    </xdr:from>
    <xdr:to>
      <xdr:col>13</xdr:col>
      <xdr:colOff>480060</xdr:colOff>
      <xdr:row>19</xdr:row>
      <xdr:rowOff>129540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5B2FF469-9F9D-4849-AA43-C50FA74543AD}"/>
            </a:ext>
          </a:extLst>
        </xdr:cNvPr>
        <xdr:cNvSpPr/>
      </xdr:nvSpPr>
      <xdr:spPr>
        <a:xfrm>
          <a:off x="10888980" y="3406140"/>
          <a:ext cx="2842260" cy="52578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ES" sz="2400"/>
            <a:t>BESTSELLER</a:t>
          </a:r>
        </a:p>
      </xdr:txBody>
    </xdr:sp>
    <xdr:clientData/>
  </xdr:twoCellAnchor>
  <xdr:twoCellAnchor editAs="oneCell">
    <xdr:from>
      <xdr:col>13</xdr:col>
      <xdr:colOff>794656</xdr:colOff>
      <xdr:row>3</xdr:row>
      <xdr:rowOff>108858</xdr:rowOff>
    </xdr:from>
    <xdr:to>
      <xdr:col>17</xdr:col>
      <xdr:colOff>141514</xdr:colOff>
      <xdr:row>21</xdr:row>
      <xdr:rowOff>130630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3" name="Year">
              <a:extLst>
                <a:ext uri="{FF2B5EF4-FFF2-40B4-BE49-F238E27FC236}">
                  <a16:creationId xmlns:a16="http://schemas.microsoft.com/office/drawing/2014/main" id="{8EF1CC52-34A6-4806-A108-6F498CA91DC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064342" y="664029"/>
              <a:ext cx="2525486" cy="3679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ON BOSCO" refreshedDate="45971.859032754626" createdVersion="8" refreshedVersion="8" minRefreshableVersion="3" recordCount="550" xr:uid="{8CF281FA-9E7E-463A-A26A-DD055C8BACE3}">
  <cacheSource type="worksheet">
    <worksheetSource name="bestsellers_with_categories"/>
  </cacheSource>
  <cacheFields count="9">
    <cacheField name="Name" numFmtId="0">
      <sharedItems count="350">
        <s v="The Shack: Where Tragedy Confronts Eternity"/>
        <s v="The Help"/>
        <s v="Twilight (The Twilight Saga, Book 1)"/>
        <s v="The Girl with the Dragon Tattoo (Millennium Series)"/>
        <s v="Outliers: The Story of Success"/>
        <s v="Where the Wild Things Are"/>
        <s v="Breaking Dawn (The Twilight Saga, Book 4)"/>
        <s v="The 7 Habits of Highly Effective People: Powerful Lessons in Personal Change"/>
        <s v="The Lost Symbol"/>
        <s v="The Guernsey Literary and Potato Peel Pie Society"/>
        <s v="Publication Manual of the American Psychological Association, 6th Edition"/>
        <s v="The Girl Who Played with Fire (Millennium)"/>
        <s v="Under the Dome: A Novel"/>
        <s v="New Moon (The Twilight Saga)"/>
        <s v="Eclipse (Twilight Sagas)"/>
        <s v="Eclipse (Twilight)"/>
        <s v="StrengthsFinder 2.0"/>
        <s v="Act Like a Lady, Think Like a Man: What Men Really Think About Love, Relationships, Intimacy, and Commitment"/>
        <s v="The Last Olympian (Percy Jackson and the Olympians, Book 5)"/>
        <s v="Olive Kitteridge"/>
        <s v="The Last Lecture"/>
        <s v="Diary of a Wimpy Kid: The Last Straw (Book 3)"/>
        <s v="Watchmen"/>
        <s v="Liberty and Tyranny: A Conservative Manifesto"/>
        <s v="The Twilight Saga Collection"/>
        <s v="The Time Traveler's Wife"/>
        <s v="The Tipping Point: How Little Things Can Make a Big Difference"/>
        <s v="Good to Great: Why Some Companies Make the Leap and Others Don't"/>
        <s v="Three Cups of Tea: One Man's Mission to Promote Peace - One School at a Time"/>
        <s v="The Five Dysfunctions of a Team: A Leadership Fable"/>
        <s v="Dog Days (Diary of a Wimpy Kid, Book 4) (Volume 4)"/>
        <s v="Mastering the Art of French Cooking, Vol. 2"/>
        <s v="Have a Little Faith: A True Story"/>
        <s v="The Elegance of the Hedgehog"/>
        <s v="The 5000 Year Leap"/>
        <s v="The Love Dare"/>
        <s v="Going Rogue: An American Life"/>
        <s v="Super Freakonomics: Global Cooling, Patriotic Prostitutes, and Why Suicide Bombers Should Buy Life Insurance"/>
        <s v="Crazy Love: Overwhelmed by a Relentless God"/>
        <s v="Dead And Gone: A Sookie Stackhouse Novel (Sookie Stackhouse/True Blood)"/>
        <s v="Glenn Beck's Common Sense: The Case Against an Out-of-Control Government, Inspired by Thomas Paine"/>
        <s v="I, Alex Cross"/>
        <s v="Sookie Stackhouse"/>
        <s v="Eat This, Not That! Thousands of Simple Food Swaps that Can Save You 10, 20, 30 Pounds--or More!"/>
        <s v="The Book of Basketball: The NBA According to The Sports Guy"/>
        <s v="The Five Love Languages: How to Express Heartfelt Commitment to Your Mate"/>
        <s v="Arguing with Idiots: How to Stop Small Minds and Big Government"/>
        <s v="Eat This Not That! Supermarket Survival Guide: The No-Diet Weight Loss Solution"/>
        <s v="True Compass: A Memoir"/>
        <s v="Divine Soul Mind Body Healing and Transmission System: The Divine Way to Heal You, Humanity, Mother Earth, and All…"/>
        <s v="The Hunger Games"/>
        <s v="Unbroken: A World War II Story of Survival, Resilience, and Redemption"/>
        <s v="Mockingjay (The Hunger Games)"/>
        <s v="Catching Fire (The Hunger Games)"/>
        <s v="The Art of Racing in the Rain: A Novel"/>
        <s v="The Immortal Life of Henrietta Lacks"/>
        <s v="The Girl Who Kicked the Hornet's Nest (Millennium Trilogy)"/>
        <s v="The Girl Who Played with Fire (Millennium Series)"/>
        <s v="Cutting for Stone"/>
        <s v="The Lost Hero (Heroes of Olympus, Book 1)"/>
        <s v="The Ugly Truth (Diary of a Wimpy Kid, Book 5)"/>
        <s v="Sarah's Key"/>
        <s v="The Big Short: Inside the Doomsday Machine"/>
        <s v="The Confession: A Novel"/>
        <s v="The 5 Love Languages: The Secret to Love That Lasts"/>
        <s v="Life"/>
        <s v="Drive: The Surprising Truth About What Motivates Us"/>
        <s v="Towers of Midnight (Wheel of Time, Book Thirteen)"/>
        <s v="The Red Pyramid (The Kane Chronicles, Book 1)"/>
        <s v="Decision Points"/>
        <s v="The Short Second Life of Bree Tanner: An Eclipse Novella (The Twilight Saga)"/>
        <s v="Radical: Taking Back Your Faith from the American Dream"/>
        <s v="Dead in the Family (Sookie Stackhouse/True Blood, Book 10)"/>
        <s v="Switch: How to Change Things When Change Is Hard"/>
        <s v="Delivering Happiness: A Path to Profits, Passion, and Purpose"/>
        <s v="Food Rules: An Eater's Manual"/>
        <s v="Little Bee: A Novel"/>
        <s v="Women Food and God: An Unexpected Path to Almost Everything"/>
        <s v="Sh*t My Dad Says"/>
        <s v="Game Change: Obama and the Clintons, McCain and Palin, and the Race of a Lifetime"/>
        <s v="The Road to Serfdom: Text and Documents--The Definitive Edition (The Collected Works of F. A. Hayek, Volume 2)"/>
        <s v="The Official SAT Study Guide"/>
        <s v="Teach Like a Champion: 49 Techniques that Put Students on the Path to College"/>
        <s v="Barefoot Contessa, How Easy Is That?: Fabulous Recipes &amp; Easy Tips"/>
        <s v="Percy Jackson and the Olympians Paperback Boxed Set (Books 1-3)"/>
        <s v="Autobiography of Mark Twain, Vol. 1"/>
        <s v="Broke: The Plan to Restore Our Trust, Truth and Treasure"/>
        <s v="A Patriot's History of the United States: From Columbus's Great Discovery to the War on Terror"/>
        <s v="The Daily Show with Jon Stewart Presents Earth (The Book): A Visitor's Guide to the Human Race"/>
        <s v="George Washington's Sacred Fire"/>
        <s v="The Hunger Games (Book 1)"/>
        <s v="Jesus Calling: Enjoying Peace in His Presence (with Scripture References)"/>
        <s v="The Hunger Games Trilogy Boxed Set (1)"/>
        <s v="Heaven is for Real: A Little Boy's Astounding Story of His Trip to Heaven and Back"/>
        <s v="A Dance with Dragons (A Song of Ice and Fire)"/>
        <s v="Thinking, Fast and Slow"/>
        <s v="Go the F**k to Sleep"/>
        <s v="Killing Lincoln: The Shocking Assassination that Changed America Forever (Bill O'Reilly's Killing Series)"/>
        <s v="Water for Elephants: A Novel"/>
        <s v="Steve Jobs"/>
        <s v="Eat to Live: The Amazing Nutrient-Rich Program for Fast and Sustained Weight Loss, Revised Edition"/>
        <s v="The Litigators"/>
        <s v="Tina Fey: Bossypants"/>
        <s v="Game of Thrones Boxed Set: A Game of Thrones/A Clash of Kings/A Storm of Swords/A Feast for Crows"/>
        <s v="Inheritance: Book IV (Inheritance Cycle)"/>
        <s v="The China Study: The Most Comprehensive Study of Nutrition Ever Conducted And the Startling Implications for Diet…"/>
        <s v="The 4 Hour Body: An Uncommon Guide to Rapid Fat Loss, Incredible Sex and Becoming Superhuman"/>
        <s v="In the Garden of Beasts: Love, Terror, and an American Family in Hitler's Berlin"/>
        <s v="Cabin Fever (Diary of a Wimpy Kid, Book 6)"/>
        <s v="The Son of Neptune (Heroes of Olympus, Book 2)"/>
        <s v="The Lego Ideas Book: Unlock Your Imagination"/>
        <s v="A Stolen Life: A Memoir"/>
        <s v="The Paris Wife: A Novel"/>
        <s v="What to Expect When You're Expecting"/>
        <s v="One Thousand Gifts: A Dare to Live Fully Right Where You Are"/>
        <s v="The 17 Day Diet: A Doctor's Plan Designed for Rapid Results"/>
        <s v="Dead Reckoning (Sookie Stackhouse/True Blood, Book 11)"/>
        <s v="11/22/63: A Novel"/>
        <s v="The Dukan Diet: 2 Steps to Lose the Weight, 2 Steps to Keep It Off Forever"/>
        <s v="Love Wins: A Book About Heaven, Hell, and the Fate of Every Person Who Ever Lived"/>
        <s v="The Throne of Fire (The Kane Chronicles, Book 2)"/>
        <s v="Gone Girl"/>
        <s v="The Fault in Our Stars"/>
        <s v="Fifty Shades of Grey: Book One of the Fifty Shades Trilogy (Fifty Shades of Grey Series)"/>
        <s v="Fifty Shades Darker"/>
        <s v="Oh, the Places You'll Go!"/>
        <s v="Fifty Shades Freed: Book Three of the Fifty Shades Trilogy (Fifty Shades of Grey Series) (English Edition)"/>
        <s v="Wild: From Lost to Found on the Pacific Crest Trail"/>
        <s v="The Racketeer"/>
        <s v="Fifty Shades Trilogy (Fifty Shades of Grey / Fifty Shades Darker / Fifty Shades Freed)"/>
        <s v="Proof of Heaven: A Neurosurgeon's Journey into the Afterlife"/>
        <s v="The Great Gatsby"/>
        <s v="The Harbinger: The Ancient Mystery that Holds the Secret of America's Future"/>
        <s v="The Power of Habit: Why We Do What We Do in Life and Business"/>
        <s v="Winter of the World: Book Two of the Century Trilogy"/>
        <s v="Quiet: The Power of Introverts in a World That Can't Stop Talking"/>
        <s v="The Casual Vacancy"/>
        <s v="Killing Kennedy: The End of Camelot"/>
        <s v="No Easy Day: The Autobiography of a Navy Seal: The Firsthand Account of the Mission That Killed Osama Bin Laden"/>
        <s v="Wheat Belly: Lose the Wheat, Lose the Weight, and Find Your Path Back to Health"/>
        <s v="Goodnight, Goodnight Construction Site (Hardcover Books for Toddlers, Preschool Books for Kids)"/>
        <s v="The Third Wheel (Diary of a Wimpy Kid, Book 7)"/>
        <s v="The Mark of Athena (Heroes of Olympus, Book 3)"/>
        <s v="The Pioneer Woman Cooks: Food from My Frontier"/>
        <s v="The Amateur"/>
        <s v="The Serpent's Shadow (The Kane Chronicles, Book 3)"/>
        <s v="Thomas Jefferson: The Art of Power"/>
        <s v="The Blood Sugar Solution: The UltraHealthy Program for Losing Weight, Preventing Disease, and Feeling Great Now!"/>
        <s v="Barefoot Contessa Foolproof: Recipes You Can Trust: A Cookbook"/>
        <s v="The Goldfinch: A Novel (Pulitzer Prize for Fiction)"/>
        <s v="Inferno"/>
        <s v="Divergent"/>
        <s v="To Kill a Mockingbird"/>
        <s v="The Four Agreements: A Practical Guide to Personal Freedom (A Toltec Wisdom Book)"/>
        <s v="The Book Thief"/>
        <s v="Sycamore Row (Jake Brigance)"/>
        <s v="Wonder"/>
        <s v="The Very Hungry Caterpillar"/>
        <s v="Doctor Sleep: A Novel"/>
        <s v="And the Mountains Echoed"/>
        <s v="Killing Jesus (Bill O'Reilly's Killing Series)"/>
        <s v="The Day the Crayons Quit"/>
        <s v="Rush Revere and the Brave Pilgrims: Time-Travel Adventures with Exceptional Americans (1)"/>
        <s v="Things That Matter: Three Decades of Passions, Pastimes and Politics [Deckled Edge]"/>
        <s v="Laugh-Out-Loud Jokes for Kids"/>
        <s v="The House of Hades (Heroes of Olympus, Book 4)"/>
        <s v="Diary of a Wimpy Kid: Hard Luck, Book 8"/>
        <s v="Diagnostic and Statistical Manual of Mental Disorders, 5th Edition: DSM-5"/>
        <s v="Allegiant"/>
        <s v="Lean In: Women, Work, and the Will to Lead"/>
        <s v="The Legend of Zelda: Hyrule Historia"/>
        <s v="Hyperbole and a Half: Unfortunate Situations, Flawed Coping Mechanisms, Mayhem, and Other Things That Happened"/>
        <s v="George Washington's Secret Six: The Spy Ring That Saved the American Revolution"/>
        <s v="Joyland (Hard Case Crime)"/>
        <s v="David and Goliath: Underdogs, Misfits, and the Art of Battling Giants"/>
        <s v="Happy, Happy, Happy: My Life and Legacy as the Duck Commander"/>
        <s v="Knock-Knock Jokes for Kids"/>
        <s v="Humans of New York"/>
        <s v="The Pioneer Woman Cooks: A Year of Holidays: 140 Step-by-Step Recipes for Simple, Scrumptious Celebrations"/>
        <s v="Shred: The Revolutionary Diet: 6 Weeks 4 Inches 2 Sizes"/>
        <s v="Daring Greatly: How the Courage to Be Vulnerable Transforms the Way We Live, Love, Parent, and Lead"/>
        <s v="Soul Healing Miracles: Ancient and New Sacred Wisdom, Knowledge, and Practical Techniques for Healing the Spiritual…"/>
        <s v="All the Light We Cannot See"/>
        <s v="The Alchemist"/>
        <s v="How to Win Friends &amp; Influence People"/>
        <s v="The Boys in the Boat: Nine Americans and Their Epic Quest for Gold at the 1936 Berlin Olympics"/>
        <s v="Orphan Train"/>
        <s v="A Game of Thrones / A Clash of Kings / A Storm of Swords / A Feast of Crows / A Dance with Dragons"/>
        <s v="Love You Forever"/>
        <s v="Divergent / Insurgent"/>
        <s v="First 100 Words"/>
        <s v="Thug Kitchen: The Official Cookbook: Eat Like You Give a F*ck (Thug Kitchen Cookbooks)"/>
        <s v="Killing Patton: The Strange Death of World War II's Most Audacious General (Bill O'Reilly's Killing Series)"/>
        <s v="The Maze Runner (Book 1)"/>
        <s v="What If?: Serious Scientific Answers to Absurd Hypothetical Questions"/>
        <s v="Looking for Alaska"/>
        <s v="The Book with No Pictures"/>
        <s v="If I Stay"/>
        <s v="The Blood of Olympus (The Heroes of Olympus (5))"/>
        <s v="Diary of a Wimpy Kid: The Long Haul"/>
        <s v="Grain Brain: The Surprising Truth about Wheat, Carbs, and Sugar--Your Brain's Silent Killers"/>
        <s v="Mindset: The New Psychology of Success"/>
        <s v="Rush Revere and the First Patriots: Time-Travel Adventures With Exceptional Americans (2)"/>
        <s v="Frozen (Little Golden Book)"/>
        <s v="Capital in the Twenty First Century"/>
        <s v="Ultimate Sticker Book: Frozen: More Than 60 Reusable Full-Color Stickers"/>
        <s v="Little Blue Truck"/>
        <s v="Make It Ahead: A Barefoot Contessa Cookbook"/>
        <s v="JOURNEY TO THE ICE P"/>
        <s v="The Girl on the Train"/>
        <s v="The Nightingale: A Novel"/>
        <s v="The Martian"/>
        <s v="Grey: Fifty Shades of Grey as Told by Christian (Fifty Shades of Grey Series)"/>
        <s v="The Life-Changing Magic of Tidying Up: The Japanese Art of Decluttering and Organizing"/>
        <s v="American Sniper: The Autobiography of the Most Lethal Sniper in U.S. Military History"/>
        <s v="Go Set a Watchman: A Novel"/>
        <s v="Giraffes Can't Dance"/>
        <s v="Being Mortal: Medicine and What Matters in the End"/>
        <s v="Dear Zoo: A Lift-the-Flap Book"/>
        <s v="Between the World and Me"/>
        <s v="Secret Garden: An Inky Treasure Hunt and Coloring Book (For Adults, mindfulness coloring)"/>
        <s v="The Whole30: The 30-Day Guide to Total Health and Food Freedom"/>
        <s v="Old School (Diary of a Wimpy Kid #10)"/>
        <s v="The Wright Brothers"/>
        <s v="Enchanted Forest: An Inky Quest and Coloring book (Activity Books, Mindfulness and Meditation, Illustrated Floral Prints…"/>
        <s v="Baby Touch and Feel: Animals"/>
        <s v="Killing Reagan: The Violent Assault That Changed a Presidency (Bill O'Reilly's Killing Series)"/>
        <s v="Creative Haven Creative Cats Coloring Book (Adult Coloring)"/>
        <s v="Creative Haven Owls Coloring Book (Adult Coloring)"/>
        <s v="Harry Potter Coloring Book"/>
        <s v="The Pioneer Woman Cooks: Dinnertime - Comfort Classics, Freezer Food, 16-minute Meals, and Other Delicious Ways to Solve…"/>
        <s v="Adult Coloring Book: Stress Relieving Patterns"/>
        <s v="Adult Coloring Book: Stress Relieving Animal Designs"/>
        <s v="Humans of New York : Stories"/>
        <s v="Adult Coloring Books: A Coloring Book for Adults Featuring Mandalas and Henna Inspired Flowers, Animals, and Paisley…"/>
        <s v="Dover Creative Haven Art Nouveau Animal Designs Coloring Book (Creative Haven Coloring Books)"/>
        <s v="Balance (Angie's Extreme Stress Menders)"/>
        <s v="What Pet Should I Get? (Classic Seuss)"/>
        <s v="Harry Potter and the Cursed Child, Parts 1 &amp; 2, Special Rehearsal Edition Script"/>
        <s v="A Man Called Ove: A Novel"/>
        <s v="Harry Potter and the Chamber of Secrets: The Illustrated Edition (Harry Potter, Book 2)"/>
        <s v="Milk and Honey"/>
        <s v="10-Day Green Smoothie Cleanse"/>
        <s v="Hillbilly Elegy: A Memoir of a Family and Culture in Crisis"/>
        <s v="You Are a Badass: How to Stop Doubting Your Greatness and Start Living an Awesome Life"/>
        <s v="When Breath Becomes Air"/>
        <s v="Harry Potter Paperback Box Set (Books 1-7)"/>
        <s v="Fahrenheit 451"/>
        <s v="Calm the F*ck Down: An Irreverent Adult Coloring Book (Irreverent Book Series)"/>
        <s v="Harry Potter and the Sorcerer's Stone: The Illustrated Edition (Harry Potter, Book 1)"/>
        <s v="Alexander Hamilton"/>
        <s v="Killing the Rising Sun: How America Vanquished World War II Japan (Bill O'Reilly's Killing Series)"/>
        <s v="The Wonderful Things You Will Be"/>
        <s v="The Magnolia Story"/>
        <s v="Hamilton: The Revolution"/>
        <s v="The Going-To-Bed Book"/>
        <s v="Night (Night)"/>
        <s v="Double Down (Diary of a Wimpy Kid #11)"/>
        <s v="Cravings: Recipes for All the Food You Want to Eat: A Cookbook"/>
        <s v="Uninvited: Living Loved When You Feel Less Than, Left Out, and Lonely"/>
        <s v="Fantastic Beasts and Where to Find Them: The Original Screenplay (Harry Potter)"/>
        <s v="Born to Run"/>
        <s v="Pokémon Deluxe Essential Handbook: The Need-to-Know Stats and Facts on Over 700 Pokémon"/>
        <s v="The Constitution of the United States"/>
        <s v="Adult Coloring Book Designs: Stress Relief Coloring Book: Garden Designs, Mandalas, Animals, and Paisley Patterns"/>
        <s v="The Official SAT Study Guide, 2016 Edition (Official Study Guide for the New Sat)"/>
        <s v="The Handmaid's Tale"/>
        <s v="The Subtle Art of Not Giving a F*ck: A Counterintuitive Approach to Living a Good Life"/>
        <s v="Ready Player One: A Novel"/>
        <s v="1984 (Signet Classics)"/>
        <s v="A Gentleman in Moscow: A Novel"/>
        <s v="Origin: A Novel (Robert Langdon)"/>
        <s v="Player's Handbook (Dungeons &amp; Dragons)"/>
        <s v="If Animals Kissed Good Night"/>
        <s v="Brown Bear, Brown Bear, What Do You See?"/>
        <s v="Make Your Bed: Little Things That Can Change Your Life...And Maybe the World"/>
        <s v="The Pout-Pout Fish"/>
        <s v="Astrophysics for People in a Hurry"/>
        <s v="Goodnight Moon"/>
        <s v="Killers of the Flower Moon: The Osage Murders and the Birth of the FBI"/>
        <s v="Thirteen Reasons Why"/>
        <s v="The Instant Pot Electric Pressure Cooker Cookbook: Easy Recipes for Fast &amp; Healthy Meals"/>
        <s v="The Getaway"/>
        <s v="What Happened"/>
        <s v="The Sun and Her Flowers"/>
        <s v="Dog Man: A Tale of Two Kitties: From the Creator of Captain Underpants (Dog Man #3)"/>
        <s v="Puppy Birthday to You! (Paw Patrol) (Little Golden Book)"/>
        <s v="Tools of Titans: The Tactics, Routines, and Habits of Billionaires, Icons, and World-Class Performers"/>
        <s v="Obama: An Intimate Portrait"/>
        <s v="Harry Potter and the Prisoner of Azkaban: The Illustrated Edition (Harry Potter, Book 3)"/>
        <s v="Milk and Vine: Inspirational Quotes From Classic Vines"/>
        <s v="Leonardo da Vinci"/>
        <s v="Option B: Facing Adversity, Building Resilience, and Finding Joy"/>
        <s v="Becoming"/>
        <s v="The Wonky Donkey"/>
        <s v="Educated: A Memoir"/>
        <s v="Little Fires Everywhere"/>
        <s v="School Zone - Big Preschool Workbook - Ages 4 and Up, Colors, Shapes, Numbers 1-10, Alphabet, Pre-Writing, Pre-Reading…"/>
        <s v="Girl, Wash Your Face: Stop Believing the Lies About Who You Are So You Can Become Who You Were Meant to Be"/>
        <s v="12 Rules for Life: An Antidote to Chaos"/>
        <s v="Fire and Fury: Inside the Trump White House"/>
        <s v="The Complete Ketogenic Diet for Beginners: Your Essential Guide to Living the Keto Lifestyle"/>
        <s v="Last Week Tonight with John Oliver Presents A Day in the Life of Marlon Bundo (Better Bundo Book, LGBT Childrens Book)"/>
        <s v="P is for Potty! (Sesame Street) (Lift-the-Flap)"/>
        <s v="The President Is Missing: A Novel"/>
        <s v="The Hate U Give"/>
        <s v="Magnolia Table: A Collection of Recipes for Gathering"/>
        <s v="Salt, Fat, Acid, Heat: Mastering the Elements of Good Cooking"/>
        <s v="Lettering and Modern Calligraphy: A Beginner's Guide: Learn Hand Lettering and Brush Lettering"/>
        <s v="Instant Pot Pressure Cooker Cookbook: 500 Everyday Recipes for Beginners and Advanced Users. Try Easy and Healthy…"/>
        <s v="Dog Man: Brawl of the Wild: From the Creator of Captain Underpants (Dog Man #6)"/>
        <s v="The Plant Paradox: The Hidden Dangers in &quot;Healthy&quot; Foods That Cause Disease and Weight Gain"/>
        <s v="Whose Boat Is This Boat?: Comments That Don't Help in the Aftermath of a Hurricane"/>
        <s v="Crazy Rich Asians (Crazy Rich Asians Trilogy)"/>
        <s v="Fear: Trump in the White House"/>
        <s v="A Higher Loyalty: Truth, Lies, and Leadership"/>
        <s v="The Meltdown (Diary of a Wimpy Kid Book 13)"/>
        <s v="Dog Man: Lord of the Fleas: From the Creator of Captain Underpants (Dog Man #5)"/>
        <s v="A Wrinkle in Time (Time Quintet)"/>
        <s v="Dog Man and Cat Kid: From the Creator of Captain Underpants (Dog Man #4)"/>
        <s v="Ship of Fools: How a Selfish Ruling Class Is Bringing America to the Brink of Revolution"/>
        <s v="Homebody: A Guide to Creating Spaces You Never Want to Leave"/>
        <s v="The Plant Paradox Cookbook: 100 Delicious Recipes to Help You Lose Weight, Heal Your Gut, and Live Lectin-Free"/>
        <s v="Kitchen Confidential Updated Edition: Adventures in the Culinary Underbelly (P.S.)"/>
        <s v="Where the Crawdads Sing"/>
        <s v="The Silent Patient"/>
        <s v="Can't Hurt Me: Master Your Mind and Defy the Odds"/>
        <s v="The Guardians: A Novel"/>
        <s v="Dog Man: Fetch-22: From the Creator of Captain Underpants (Dog Man #8)"/>
        <s v="The Body Keeps the Score: Brain, Mind, and Body in the Healing of Trauma"/>
        <s v="The Total Money Makeover: Classic Edition: A Proven Plan for Financial Fitness"/>
        <s v="Good Days Start With Gratitude: A 52 Week Guide To Cultivate An Attitude Of Gratitude: Gratitude Journal"/>
        <s v="I Am Confident, Brave &amp; Beautiful: A Coloring Book for Girls"/>
        <s v="Wrecking Ball (Diary of a Wimpy Kid Book 14)"/>
        <s v="Strange Planet (Strange Planet Series)"/>
        <s v="Dog Man: For Whom the Ball Rolls: From the Creator of Captain Underpants (Dog Man #7)"/>
        <s v="The Unofficial Harry Potter Cookbook: From Cauldron Cakes to Knickerbocker Glory--More Than 150 Magical Recipes for…"/>
        <s v="What Should Danny Do? (The Power to Choose Series)"/>
        <s v="Difficult Riddles For Smart Kids: 300 Difficult Riddles And Brain Teasers Families Will Love (Books for Smart Kids)"/>
        <s v="National Geographic Little Kids First Big Book of Why (National Geographic Little Kids First Big Books)"/>
        <s v="Harry Potter and the Goblet of Fire: The Illustrated Edition (Harry Potter, Book 4) (4)"/>
        <s v="5,000 Awesome Facts (About Everything!) (National Geographic Kids)"/>
        <s v="Girl, Stop Apologizing: A Shame-Free Plan for Embracing and Achieving Your Goals"/>
        <s v="It's Not Supposed to Be This Way: Finding Unexpected Strength When Disappointments Leave You Shattered"/>
        <s v="Unicorn Coloring Book: For Kids Ages 4-8 (US Edition) (Silly Bear Coloring Books)"/>
        <s v="Unfreedom of the Press"/>
        <s v="Guts"/>
        <s v="National Geographic Kids Why?: Over 1,111 Answers to Everything"/>
        <s v="Howard Stern Comes Again"/>
        <s v="The Mueller Report"/>
      </sharedItems>
    </cacheField>
    <cacheField name="Author" numFmtId="0">
      <sharedItems count="248">
        <s v="William P. Young"/>
        <s v="Kathryn Stockett"/>
        <s v="Stephenie Meyer"/>
        <s v="Stieg Larsson"/>
        <s v="Malcolm Gladwell"/>
        <s v="Maurice Sendak"/>
        <s v="Stephen R. Covey"/>
        <s v="Dan Brown"/>
        <s v="Mary Ann Shaffer"/>
        <s v="American Psychological Association"/>
        <s v="Stephen King"/>
        <s v="Gallup"/>
        <s v="Steve Harvey"/>
        <s v="Rick Riordan"/>
        <s v="Elizabeth Strout"/>
        <s v="Randy Pausch"/>
        <s v="Jeff Kinney"/>
        <s v="Alan Moore"/>
        <s v="Mark R. Levin"/>
        <s v="Audrey Niffenegger"/>
        <s v="Jim Collins"/>
        <s v="Greg Mortenson"/>
        <s v="Patrick Lencioni"/>
        <s v="Julia Child"/>
        <s v="Mitch Albom"/>
        <s v="Muriel Barbery"/>
        <s v="W. Cleon Skousen"/>
        <s v="Stephen Kendrick"/>
        <s v="Sarah Palin"/>
        <s v="Steven D. Levitt"/>
        <s v="Francis Chan"/>
        <s v="Charlaine Harris"/>
        <s v="Glenn Beck"/>
        <s v="James Patterson"/>
        <s v="David Zinczenko"/>
        <s v="Bill Simmons"/>
        <s v="Gary Chapman"/>
        <s v="Edward M. Kennedy"/>
        <s v="Zhi Gang Sha"/>
        <s v="Suzanne Collins"/>
        <s v="Laura Hillenbrand"/>
        <s v="Garth Stein"/>
        <s v="Rebecca Skloot"/>
        <s v="Abraham Verghese"/>
        <s v="Tatiana de Rosnay"/>
        <s v="Michael Lewis"/>
        <s v="John Grisham"/>
        <s v="Keith Richards"/>
        <s v="Daniel H. Pink"/>
        <s v="Robert Jordan"/>
        <s v="George W. Bush"/>
        <s v="David Platt"/>
        <s v="Chip Heath"/>
        <s v="Tony Hsieh"/>
        <s v="Michael Pollan"/>
        <s v="Chris Cleave"/>
        <s v="Geneen Roth"/>
        <s v="Justin Halpern"/>
        <s v="John Heilemann"/>
        <s v="F. A. Hayek"/>
        <s v="The College Board"/>
        <s v="Doug Lemov"/>
        <s v="Ina Garten"/>
        <s v="Mark Twain"/>
        <s v="Larry Schweikart"/>
        <s v="Jon Stewart"/>
        <s v="Peter A. Lillback"/>
        <s v="Sarah Young"/>
        <s v="Todd Burpo"/>
        <s v="George R. R. Martin"/>
        <s v="Daniel Kahneman"/>
        <s v="Adam Mansbach"/>
        <s v="Bill O'Reilly"/>
        <s v="Sara Gruen"/>
        <s v="Walter Isaacson"/>
        <s v="Joel Fuhrman MD"/>
        <s v="Tina Fey"/>
        <s v="George R.R. Martin"/>
        <s v="Christopher Paolini"/>
        <s v="Thomas Campbell"/>
        <s v="Timothy Ferriss"/>
        <s v="Eric Larson"/>
        <s v="Daniel Lipkowitz"/>
        <s v="Jaycee Dugard"/>
        <s v="Paula McLain"/>
        <s v="Heidi Murkoff"/>
        <s v="Ann Voskamp"/>
        <s v="Mike Moreno"/>
        <s v="Pierre Dukan"/>
        <s v="Rob Bell"/>
        <s v="Gillian Flynn"/>
        <s v="John Green"/>
        <s v="E L James"/>
        <s v="Dr. Seuss"/>
        <s v="Cheryl Strayed"/>
        <s v="Eben Alexander"/>
        <s v="F. Scott Fitzgerald"/>
        <s v="Jonathan Cahn"/>
        <s v="Charles Duhigg"/>
        <s v="Ken Follett"/>
        <s v="Susan Cain"/>
        <s v="J.K. Rowling"/>
        <s v="Mark Owen"/>
        <s v="William Davis"/>
        <s v="Sherri Duskey Rinker"/>
        <s v="Ree Drummond"/>
        <s v="Edward Klein"/>
        <s v="Jon Meacham"/>
        <s v="Mark Hyman M.D."/>
        <s v="Donna Tartt"/>
        <s v="Veronica Roth"/>
        <s v="Harper Lee"/>
        <s v="Don Miguel Ruiz"/>
        <s v="Markus Zusak"/>
        <s v="R. J. Palacio"/>
        <s v="Eric Carle"/>
        <s v="Khaled Hosseini"/>
        <s v="Drew Daywalt"/>
        <s v="Rush Limbaugh"/>
        <s v="Charles Krauthammer"/>
        <s v="Rob Elliott"/>
        <s v="American Psychiatric Association"/>
        <s v="Sheryl Sandberg"/>
        <s v="Patrick Thorpe"/>
        <s v="Allie Brosh"/>
        <s v="Brian Kilmeade"/>
        <s v="Phil Robertson"/>
        <s v="Brandon Stanton"/>
        <s v="Ian K. Smith M.D."/>
        <s v="Brené Brown"/>
        <s v="Anthony Doerr"/>
        <s v="Paulo Coelho"/>
        <s v="Dale Carnegie"/>
        <s v="Daniel James Brown"/>
        <s v="Christina Baker Kline"/>
        <s v="Robert Munsch"/>
        <s v="Roger Priddy"/>
        <s v="Thug Kitchen"/>
        <s v="James Dashner"/>
        <s v="Randall Munroe"/>
        <s v="B. J. Novak"/>
        <s v="Gayle Forman"/>
        <s v="David Perlmutter MD"/>
        <s v="Carol S. Dweck"/>
        <s v="RH Disney"/>
        <s v="Thomas Piketty"/>
        <s v="DK"/>
        <s v="Alice Schertle"/>
        <s v="Paula Hawkins"/>
        <s v="Kristin Hannah"/>
        <s v="Andy Weir"/>
        <s v="Marie Kondō"/>
        <s v="Chris Kyle"/>
        <s v="Giles Andreae"/>
        <s v="Atul Gawande"/>
        <s v="Rod Campbell"/>
        <s v="Ta-Nehisi Coates"/>
        <s v="Johanna Basford"/>
        <s v="Melissa Hartwig Urban"/>
        <s v="David McCullough"/>
        <s v="Marjorie Sarnat"/>
        <s v="Scholastic"/>
        <s v="Blue Star Coloring"/>
        <s v="Coloring Books for Adults"/>
        <s v="Marty Noble"/>
        <s v="Angie Grace"/>
        <s v="Fredrik Backman"/>
        <s v="Rupi Kaur"/>
        <s v="JJ Smith"/>
        <s v="J. D. Vance"/>
        <s v="Jen Sincero"/>
        <s v="Paul Kalanithi"/>
        <s v="J. K. Rowling"/>
        <s v="Ray Bradbury"/>
        <s v="Sasha O'Hara"/>
        <s v="Ron Chernow"/>
        <s v="Emily Winfield Martin"/>
        <s v="Chip Gaines"/>
        <s v="Lin-Manuel Miranda"/>
        <s v="Sandra Boynton"/>
        <s v="Elie Wiesel"/>
        <s v="Chrissy Teigen"/>
        <s v="Lysa TerKeurst"/>
        <s v="Bruce Springsteen"/>
        <s v="Delegates of the Constitutional"/>
        <s v="Adult Coloring Book Designs"/>
        <s v="Margaret Atwood"/>
        <s v="Mark Manson"/>
        <s v="Ernest Cline"/>
        <s v="George Orwell"/>
        <s v="Amor Towles"/>
        <s v="Wizards RPG Team"/>
        <s v="Ann Whitford Paul"/>
        <s v="Bill Martin Jr."/>
        <s v="Admiral William H. McRaven"/>
        <s v="Deborah Diesen"/>
        <s v="Neil deGrasse Tyson"/>
        <s v="Margaret Wise Brown"/>
        <s v="David Grann"/>
        <s v="Jay Asher"/>
        <s v="Laurel Randolph"/>
        <s v="Hillary Rodham Clinton"/>
        <s v="Dav Pilkey"/>
        <s v="Golden Books"/>
        <s v="Pete Souza"/>
        <s v="Adam Gasiewski"/>
        <s v="Michelle Obama"/>
        <s v="Craig Smith"/>
        <s v="Tara Westover"/>
        <s v="Celeste Ng"/>
        <s v="School Zone"/>
        <s v="Rachel Hollis"/>
        <s v="Jordan B. Peterson"/>
        <s v="Michael Wolff"/>
        <s v="Amy Ramos"/>
        <s v="Jill Twiss"/>
        <s v="Naomi Kleinberg"/>
        <s v="Angie Thomas"/>
        <s v="Joanna Gaines"/>
        <s v="Samin Nosrat"/>
        <s v="Paper Peony Press"/>
        <s v="Jennifer Smith"/>
        <s v="Dr. Steven R Gundry MD"/>
        <s v="The Staff of The Late Show with"/>
        <s v="Kevin Kwan"/>
        <s v="Bob Woodward"/>
        <s v="James Comey"/>
        <s v="Madeleine L'Engle"/>
        <s v="Tucker Carlson"/>
        <s v="Anthony Bourdain"/>
        <s v="Delia Owens"/>
        <s v="Alex Michaelides"/>
        <s v="David Goggins"/>
        <s v="Bessel van der Kolk M.D."/>
        <s v="Dave Ramsey"/>
        <s v="Pretty Simple Press"/>
        <s v="Hopscotch Girls"/>
        <s v="Nathan W. Pyle"/>
        <s v="Dinah Bucholz"/>
        <s v="Adir Levy"/>
        <s v="M Prefontaine"/>
        <s v="Amy Shields"/>
        <s v="National Geographic Kids"/>
        <s v="Silly Bear"/>
        <s v="Raina Telgemeier"/>
        <s v="Crispin Boyer"/>
        <s v="Howard Stern"/>
        <s v="The Washington Post"/>
      </sharedItems>
    </cacheField>
    <cacheField name="User Rating" numFmtId="0">
      <sharedItems containsSemiMixedTypes="0" containsString="0" containsNumber="1" containsInteger="1" minValue="4" maxValue="49" count="14">
        <n v="46"/>
        <n v="48"/>
        <n v="47"/>
        <n v="44"/>
        <n v="42"/>
        <n v="45"/>
        <n v="43"/>
        <n v="4"/>
        <n v="41"/>
        <n v="49"/>
        <n v="38"/>
        <n v="33"/>
        <n v="39"/>
        <n v="36"/>
      </sharedItems>
    </cacheField>
    <cacheField name="Reviews" numFmtId="0">
      <sharedItems containsSemiMixedTypes="0" containsString="0" containsNumber="1" containsInteger="1" minValue="37" maxValue="87841" count="346">
        <n v="19720"/>
        <n v="13871"/>
        <n v="11676"/>
        <n v="10559"/>
        <n v="10426"/>
        <n v="9967"/>
        <n v="9769"/>
        <n v="9325"/>
        <n v="8747"/>
        <n v="8587"/>
        <n v="8580"/>
        <n v="7251"/>
        <n v="6740"/>
        <n v="5680"/>
        <n v="5505"/>
        <n v="5069"/>
        <n v="5013"/>
        <n v="4628"/>
        <n v="4519"/>
        <n v="4028"/>
        <n v="3837"/>
        <n v="3829"/>
        <n v="3828"/>
        <n v="3801"/>
        <n v="3759"/>
        <n v="3503"/>
        <n v="3457"/>
        <n v="3319"/>
        <n v="3207"/>
        <n v="3181"/>
        <n v="2926"/>
        <n v="1930"/>
        <n v="1859"/>
        <n v="1680"/>
        <n v="1655"/>
        <n v="1636"/>
        <n v="1583"/>
        <n v="1542"/>
        <n v="1541"/>
        <n v="1365"/>
        <n v="1320"/>
        <n v="973"/>
        <n v="956"/>
        <n v="858"/>
        <n v="803"/>
        <n v="798"/>
        <n v="720"/>
        <n v="438"/>
        <n v="37"/>
        <n v="32122"/>
        <n v="29673"/>
        <n v="26741"/>
        <n v="22614"/>
        <n v="11813"/>
        <n v="9289"/>
        <n v="7747"/>
        <n v="4866"/>
        <n v="4506"/>
        <n v="3796"/>
        <n v="3619"/>
        <n v="3536"/>
        <n v="3523"/>
        <n v="3477"/>
        <n v="2752"/>
        <n v="2525"/>
        <n v="2282"/>
        <n v="2186"/>
        <n v="2137"/>
        <n v="2122"/>
        <n v="1985"/>
        <n v="1924"/>
        <n v="1907"/>
        <n v="1651"/>
        <n v="1555"/>
        <n v="1467"/>
        <n v="1302"/>
        <n v="1265"/>
        <n v="1215"/>
        <n v="1204"/>
        <n v="1201"/>
        <n v="637"/>
        <n v="615"/>
        <n v="548"/>
        <n v="491"/>
        <n v="471"/>
        <n v="460"/>
        <n v="440"/>
        <n v="408"/>
        <n v="19576"/>
        <n v="16949"/>
        <n v="15779"/>
        <n v="12643"/>
        <n v="11034"/>
        <n v="9568"/>
        <n v="9342"/>
        <n v="8958"/>
        <n v="7827"/>
        <n v="6346"/>
        <n v="6222"/>
        <n v="5977"/>
        <n v="5594"/>
        <n v="5299"/>
        <n v="4633"/>
        <n v="4587"/>
        <n v="4571"/>
        <n v="4505"/>
        <n v="4290"/>
        <n v="4247"/>
        <n v="4149"/>
        <n v="3341"/>
        <n v="3163"/>
        <n v="2314"/>
        <n v="2094"/>
        <n v="2052"/>
        <n v="2023"/>
        <n v="1649"/>
        <n v="1463"/>
        <n v="57271"/>
        <n v="50482"/>
        <n v="47265"/>
        <n v="23631"/>
        <n v="21834"/>
        <n v="20262"/>
        <n v="17044"/>
        <n v="14493"/>
        <n v="13964"/>
        <n v="13616"/>
        <n v="11616"/>
        <n v="11098"/>
        <n v="10795"/>
        <n v="10760"/>
        <n v="10009"/>
        <n v="9372"/>
        <n v="8634"/>
        <n v="8093"/>
        <n v="7497"/>
        <n v="7038"/>
        <n v="6377"/>
        <n v="6247"/>
        <n v="2876"/>
        <n v="2580"/>
        <n v="2091"/>
        <n v="1904"/>
        <n v="1789"/>
        <n v="1296"/>
        <n v="33844"/>
        <n v="29651"/>
        <n v="27098"/>
        <n v="26234"/>
        <n v="23308"/>
        <n v="23148"/>
        <n v="23114"/>
        <n v="21625"/>
        <n v="19546"/>
        <n v="15845"/>
        <n v="12159"/>
        <n v="11391"/>
        <n v="8922"/>
        <n v="7150"/>
        <n v="7034"/>
        <n v="6990"/>
        <n v="6982"/>
        <n v="6812"/>
        <n v="6679"/>
        <n v="6310"/>
        <n v="6132"/>
        <n v="5396"/>
        <n v="4896"/>
        <n v="4799"/>
        <n v="4748"/>
        <n v="4642"/>
        <n v="4148"/>
        <n v="3673"/>
        <n v="3490"/>
        <n v="2663"/>
        <n v="2272"/>
        <n v="1329"/>
        <n v="220"/>
        <n v="36348"/>
        <n v="35799"/>
        <n v="25001"/>
        <n v="23358"/>
        <n v="21930"/>
        <n v="19735"/>
        <n v="18613"/>
        <n v="17684"/>
        <n v="17323"/>
        <n v="11128"/>
        <n v="10927"/>
        <n v="10101"/>
        <n v="9292"/>
        <n v="8491"/>
        <n v="8081"/>
        <n v="7153"/>
        <n v="6600"/>
        <n v="6540"/>
        <n v="5972"/>
        <n v="5542"/>
        <n v="3836"/>
        <n v="3642"/>
        <n v="2884"/>
        <n v="2586"/>
        <n v="1884"/>
        <n v="1386"/>
        <n v="978"/>
        <n v="79446"/>
        <n v="49288"/>
        <n v="39459"/>
        <n v="25624"/>
        <n v="25554"/>
        <n v="22641"/>
        <n v="15921"/>
        <n v="14982"/>
        <n v="14038"/>
        <n v="11113"/>
        <n v="10922"/>
        <n v="10070"/>
        <n v="9366"/>
        <n v="7508"/>
        <n v="6169"/>
        <n v="5413"/>
        <n v="5360"/>
        <n v="5235"/>
        <n v="4725"/>
        <n v="4022"/>
        <n v="3871"/>
        <n v="3564"/>
        <n v="3428"/>
        <n v="2951"/>
        <n v="2925"/>
        <n v="2812"/>
        <n v="2426"/>
        <n v="2134"/>
        <n v="1909"/>
        <n v="1873"/>
        <n v="23973"/>
        <n v="23848"/>
        <n v="19622"/>
        <n v="17739"/>
        <n v="17350"/>
        <n v="15526"/>
        <n v="14331"/>
        <n v="13779"/>
        <n v="13471"/>
        <n v="10721"/>
        <n v="10369"/>
        <n v="10052"/>
        <n v="9198"/>
        <n v="8916"/>
        <n v="8842"/>
        <n v="7861"/>
        <n v="5867"/>
        <n v="5249"/>
        <n v="5178"/>
        <n v="5118"/>
        <n v="4761"/>
        <n v="4585"/>
        <n v="4370"/>
        <n v="3729"/>
        <n v="2774"/>
        <n v="2313"/>
        <n v="807"/>
        <n v="29442"/>
        <n v="26490"/>
        <n v="22536"/>
        <n v="21424"/>
        <n v="19699"/>
        <n v="18904"/>
        <n v="16990"/>
        <n v="16643"/>
        <n v="14344"/>
        <n v="10199"/>
        <n v="9784"/>
        <n v="9374"/>
        <n v="8837"/>
        <n v="8393"/>
        <n v="7932"/>
        <n v="7368"/>
        <n v="5836"/>
        <n v="5492"/>
        <n v="5487"/>
        <n v="4786"/>
        <n v="4757"/>
        <n v="4360"/>
        <n v="3192"/>
        <n v="3146"/>
        <n v="3113"/>
        <n v="3014"/>
        <n v="1831"/>
        <n v="61133"/>
        <n v="30183"/>
        <n v="28729"/>
        <n v="25706"/>
        <n v="23047"/>
        <n v="22288"/>
        <n v="18979"/>
        <n v="13677"/>
        <n v="13061"/>
        <n v="11881"/>
        <n v="10820"/>
        <n v="10191"/>
        <n v="9947"/>
        <n v="9867"/>
        <n v="7802"/>
        <n v="7550"/>
        <n v="7396"/>
        <n v="7235"/>
        <n v="7058"/>
        <n v="6669"/>
        <n v="6143"/>
        <n v="6042"/>
        <n v="5983"/>
        <n v="5898"/>
        <n v="5470"/>
        <n v="5153"/>
        <n v="5062"/>
        <n v="3923"/>
        <n v="3776"/>
        <n v="3601"/>
        <n v="2507"/>
        <n v="87841"/>
        <n v="27536"/>
        <n v="16244"/>
        <n v="13609"/>
        <n v="12619"/>
        <n v="12361"/>
        <n v="11550"/>
        <n v="10141"/>
        <n v="9737"/>
        <n v="9413"/>
        <n v="9382"/>
        <n v="9089"/>
        <n v="9030"/>
        <n v="8170"/>
        <n v="7955"/>
        <n v="7866"/>
        <n v="7758"/>
        <n v="7665"/>
        <n v="7660"/>
        <n v="7062"/>
        <n v="6108"/>
        <n v="5956"/>
        <n v="5476"/>
        <n v="5347"/>
        <n v="5272"/>
        <n v="2744"/>
      </sharedItems>
    </cacheField>
    <cacheField name="Price" numFmtId="164">
      <sharedItems containsSemiMixedTypes="0" containsString="0" containsNumber="1" containsInteger="1" minValue="0" maxValue="105" count="40">
        <n v="8"/>
        <n v="6"/>
        <n v="9"/>
        <n v="2"/>
        <n v="20"/>
        <n v="13"/>
        <n v="24"/>
        <n v="19"/>
        <n v="10"/>
        <n v="46"/>
        <n v="16"/>
        <n v="7"/>
        <n v="18"/>
        <n v="17"/>
        <n v="12"/>
        <n v="15"/>
        <n v="42"/>
        <n v="82"/>
        <n v="14"/>
        <n v="11"/>
        <n v="27"/>
        <n v="4"/>
        <n v="25"/>
        <n v="53"/>
        <n v="5"/>
        <n v="1"/>
        <n v="28"/>
        <n v="21"/>
        <n v="0"/>
        <n v="40"/>
        <n v="30"/>
        <n v="32"/>
        <n v="22"/>
        <n v="23"/>
        <n v="105"/>
        <n v="39"/>
        <n v="52"/>
        <n v="54"/>
        <n v="36"/>
        <n v="3"/>
      </sharedItems>
    </cacheField>
    <cacheField name="Year" numFmtId="0">
      <sharedItems containsSemiMixedTypes="0" containsString="0" containsNumber="1" containsInteger="1" minValue="2009" maxValue="2019" count="11">
        <n v="2009"/>
        <n v="2010"/>
        <n v="2011"/>
        <n v="2012"/>
        <n v="2013"/>
        <n v="2014"/>
        <n v="2015"/>
        <n v="2016"/>
        <n v="2017"/>
        <n v="2018"/>
        <n v="2019"/>
      </sharedItems>
    </cacheField>
    <cacheField name="Genre" numFmtId="0">
      <sharedItems count="2">
        <s v="Fiction"/>
        <s v="Non Fiction"/>
      </sharedItems>
    </cacheField>
    <cacheField name="Sales_Per_Reviews" numFmtId="164">
      <sharedItems containsSemiMixedTypes="0" containsString="0" containsNumber="1" containsInteger="1" minValue="0" maxValue="1430028" count="352">
        <n v="157760"/>
        <n v="83226"/>
        <n v="105084"/>
        <n v="21118"/>
        <n v="208520"/>
        <n v="129571"/>
        <n v="126997"/>
        <n v="223800"/>
        <n v="166193"/>
        <n v="85870"/>
        <n v="394680"/>
        <n v="116016"/>
        <n v="134800"/>
        <n v="56800"/>
        <n v="38535"/>
        <n v="99090"/>
        <n v="86173"/>
        <n v="85221"/>
        <n v="32396"/>
        <n v="54228"/>
        <n v="36252"/>
        <n v="57555"/>
        <n v="160818"/>
        <n v="57420"/>
        <n v="311682"/>
        <n v="22554"/>
        <n v="31527"/>
        <n v="48398"/>
        <n v="36509"/>
        <n v="19242"/>
        <n v="38172"/>
        <n v="79002"/>
        <n v="7720"/>
        <n v="20449"/>
        <n v="20160"/>
        <n v="21515"/>
        <n v="9816"/>
        <n v="28494"/>
        <n v="21588"/>
        <n v="6164"/>
        <n v="15015"/>
        <n v="9240"/>
        <n v="24325"/>
        <n v="13384"/>
        <n v="45474"/>
        <n v="7227"/>
        <n v="3990"/>
        <n v="720"/>
        <n v="6570"/>
        <n v="222"/>
        <n v="449708"/>
        <n v="474768"/>
        <n v="213928"/>
        <n v="248754"/>
        <n v="118130"/>
        <n v="120757"/>
        <n v="108458"/>
        <n v="65259"/>
        <n v="53526"/>
        <n v="63084"/>
        <n v="45552"/>
        <n v="36190"/>
        <n v="60112"/>
        <n v="45799"/>
        <n v="97356"/>
        <n v="49536"/>
        <n v="40400"/>
        <n v="47922"/>
        <n v="26232"/>
        <n v="36329"/>
        <n v="0"/>
        <n v="17865"/>
        <n v="15392"/>
        <n v="24791"/>
        <n v="24765"/>
        <n v="13995"/>
        <n v="14670"/>
        <n v="14322"/>
        <n v="13915"/>
        <n v="10935"/>
        <n v="16856"/>
        <n v="48040"/>
        <n v="12740"/>
        <n v="12915"/>
        <n v="1096"/>
        <n v="6874"/>
        <n v="3768"/>
        <n v="920"/>
        <n v="4840"/>
        <n v="8160"/>
        <n v="256976"/>
        <n v="156608"/>
        <n v="508470"/>
        <n v="157790"/>
        <n v="110968"/>
        <n v="97097"/>
        <n v="139073"/>
        <n v="209646"/>
        <n v="86112"/>
        <n v="93420"/>
        <n v="83601"/>
        <n v="107496"/>
        <n v="156540"/>
        <n v="57114"/>
        <n v="111996"/>
        <n v="71724"/>
        <n v="27970"/>
        <n v="105980"/>
        <n v="97293"/>
        <n v="96327"/>
        <n v="95991"/>
        <n v="42900"/>
        <n v="55211"/>
        <n v="132768"/>
        <n v="60144"/>
        <n v="30069"/>
        <n v="41119"/>
        <n v="50908"/>
        <n v="8376"/>
        <n v="45144"/>
        <n v="30345"/>
        <n v="21437"/>
        <n v="14630"/>
        <n v="572710"/>
        <n v="656266"/>
        <n v="661710"/>
        <n v="165417"/>
        <n v="174672"/>
        <n v="222882"/>
        <n v="306792"/>
        <n v="260874"/>
        <n v="446848"/>
        <n v="136160"/>
        <n v="81312"/>
        <n v="144274"/>
        <n v="226695"/>
        <n v="161400"/>
        <n v="200180"/>
        <n v="112464"/>
        <n v="215850"/>
        <n v="113302"/>
        <n v="44982"/>
        <n v="49266"/>
        <n v="44639"/>
        <n v="62470"/>
        <n v="60396"/>
        <n v="23220"/>
        <n v="25092"/>
        <n v="43792"/>
        <n v="25046"/>
        <n v="31104"/>
        <n v="676880"/>
        <n v="415114"/>
        <n v="406470"/>
        <n v="139848"/>
        <n v="138888"/>
        <n v="416052"/>
        <n v="194625"/>
        <n v="97730"/>
        <n v="205985"/>
        <n v="158067"/>
        <n v="136692"/>
        <n v="70063"/>
        <n v="80298"/>
        <n v="85800"/>
        <n v="105510"/>
        <n v="27960"/>
        <n v="97748"/>
        <n v="701295"/>
        <n v="82030"/>
        <n v="79716"/>
        <n v="107920"/>
        <n v="83232"/>
        <n v="76784"/>
        <n v="56976"/>
        <n v="60346"/>
        <n v="45628"/>
        <n v="14692"/>
        <n v="52350"/>
        <n v="45271"/>
        <n v="13632"/>
        <n v="13290"/>
        <n v="3740"/>
        <n v="515439"/>
        <n v="353374"/>
        <n v="508872"/>
        <n v="1396161"/>
        <n v="385749"/>
        <n v="275011"/>
        <n v="280296"/>
        <n v="241230"/>
        <n v="592050"/>
        <n v="93065"/>
        <n v="106104"/>
        <n v="69292"/>
        <n v="255944"/>
        <n v="65562"/>
        <n v="80808"/>
        <n v="157964"/>
        <n v="59437"/>
        <n v="64648"/>
        <n v="64377"/>
        <n v="72600"/>
        <n v="143880"/>
        <n v="59720"/>
        <n v="55420"/>
        <n v="46032"/>
        <n v="80752"/>
        <n v="12930"/>
        <n v="27720"/>
        <n v="1430028"/>
        <n v="542168"/>
        <n v="355131"/>
        <n v="358736"/>
        <n v="204432"/>
        <n v="249051"/>
        <n v="143289"/>
        <n v="284658"/>
        <n v="56152"/>
        <n v="166695"/>
        <n v="54610"/>
        <n v="130910"/>
        <n v="84294"/>
        <n v="120128"/>
        <n v="43183"/>
        <n v="98704"/>
        <n v="48717"/>
        <n v="26800"/>
        <n v="26175"/>
        <n v="75600"/>
        <n v="16088"/>
        <n v="19355"/>
        <n v="32076"/>
        <n v="47992"/>
        <n v="17706"/>
        <n v="17550"/>
        <n v="47804"/>
        <n v="19408"/>
        <n v="10670"/>
        <n v="20999"/>
        <n v="26222"/>
        <n v="556122"/>
        <n v="287676"/>
        <n v="190784"/>
        <n v="588660"/>
        <n v="141912"/>
        <n v="138800"/>
        <n v="217364"/>
        <n v="114648"/>
        <n v="192906"/>
        <n v="700492"/>
        <n v="85768"/>
        <n v="41476"/>
        <n v="221144"/>
        <n v="119574"/>
        <n v="53496"/>
        <n v="88420"/>
        <n v="39305"/>
        <n v="316818"/>
        <n v="26245"/>
        <n v="46602"/>
        <n v="102360"/>
        <n v="76176"/>
        <n v="41265"/>
        <n v="65550"/>
        <n v="67122"/>
        <n v="9252"/>
        <n v="29052"/>
        <n v="206094"/>
        <n v="397350"/>
        <n v="270432"/>
        <n v="128544"/>
        <n v="295485"/>
        <n v="245752"/>
        <n v="458730"/>
        <n v="66572"/>
        <n v="71720"/>
        <n v="112189"/>
        <n v="48920"/>
        <n v="84366"/>
        <n v="44185"/>
        <n v="142681"/>
        <n v="71388"/>
        <n v="51576"/>
        <n v="98856"/>
        <n v="49383"/>
        <n v="38288"/>
        <n v="19028"/>
        <n v="91560"/>
        <n v="70224"/>
        <n v="94380"/>
        <n v="18678"/>
        <n v="63294"/>
        <n v="16479"/>
        <n v="672463"/>
        <n v="120732"/>
        <n v="430935"/>
        <n v="308472"/>
        <n v="138282"/>
        <n v="267456"/>
        <n v="284685"/>
        <n v="82062"/>
        <n v="78366"/>
        <n v="154453"/>
        <n v="54100"/>
        <n v="183438"/>
        <n v="109417"/>
        <n v="157872"/>
        <n v="156040"/>
        <n v="45300"/>
        <n v="96148"/>
        <n v="28940"/>
        <n v="119986"/>
        <n v="80028"/>
        <n v="49144"/>
        <n v="12084"/>
        <n v="17949"/>
        <n v="47184"/>
        <n v="32820"/>
        <n v="25765"/>
        <n v="30372"/>
        <n v="62768"/>
        <n v="83072"/>
        <n v="64818"/>
        <n v="20056"/>
        <n v="1317615"/>
        <n v="385504"/>
        <n v="183638"/>
        <n v="292392"/>
        <n v="190526"/>
        <n v="100952"/>
        <n v="148332"/>
        <n v="115500"/>
        <n v="60846"/>
        <n v="68159"/>
        <n v="75304"/>
        <n v="56292"/>
        <n v="72712"/>
        <n v="90300"/>
        <n v="106210"/>
        <n v="39775"/>
        <n v="86526"/>
        <n v="139644"/>
        <n v="91980"/>
        <n v="91920"/>
        <n v="84744"/>
        <n v="24432"/>
        <n v="65516"/>
        <n v="38332"/>
        <n v="85552"/>
        <n v="84352"/>
        <n v="32928"/>
      </sharedItems>
    </cacheField>
    <cacheField name="Recommended" numFmtId="0">
      <sharedItems/>
    </cacheField>
  </cacheFields>
  <extLst>
    <ext xmlns:x14="http://schemas.microsoft.com/office/spreadsheetml/2009/9/main" uri="{725AE2AE-9491-48be-B2B4-4EB974FC3084}">
      <x14:pivotCacheDefinition pivotCacheId="501868623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ON BOSCO" refreshedDate="45971.85967824074" createdVersion="8" refreshedVersion="8" minRefreshableVersion="3" recordCount="550" xr:uid="{12D713E7-944F-4EAB-922B-7A79EB4FDB3F}">
  <cacheSource type="worksheet">
    <worksheetSource name="bestsellers_with_categories"/>
  </cacheSource>
  <cacheFields count="9">
    <cacheField name="Name" numFmtId="0">
      <sharedItems count="350">
        <s v="The Shack: Where Tragedy Confronts Eternity"/>
        <s v="The Help"/>
        <s v="Twilight (The Twilight Saga, Book 1)"/>
        <s v="The Girl with the Dragon Tattoo (Millennium Series)"/>
        <s v="Outliers: The Story of Success"/>
        <s v="Where the Wild Things Are"/>
        <s v="Breaking Dawn (The Twilight Saga, Book 4)"/>
        <s v="The 7 Habits of Highly Effective People: Powerful Lessons in Personal Change"/>
        <s v="The Lost Symbol"/>
        <s v="The Guernsey Literary and Potato Peel Pie Society"/>
        <s v="Publication Manual of the American Psychological Association, 6th Edition"/>
        <s v="The Girl Who Played with Fire (Millennium)"/>
        <s v="Under the Dome: A Novel"/>
        <s v="New Moon (The Twilight Saga)"/>
        <s v="Eclipse (Twilight Sagas)"/>
        <s v="Eclipse (Twilight)"/>
        <s v="StrengthsFinder 2.0"/>
        <s v="Act Like a Lady, Think Like a Man: What Men Really Think About Love, Relationships, Intimacy, and Commitment"/>
        <s v="The Last Olympian (Percy Jackson and the Olympians, Book 5)"/>
        <s v="Olive Kitteridge"/>
        <s v="The Last Lecture"/>
        <s v="Diary of a Wimpy Kid: The Last Straw (Book 3)"/>
        <s v="Watchmen"/>
        <s v="Liberty and Tyranny: A Conservative Manifesto"/>
        <s v="The Twilight Saga Collection"/>
        <s v="The Time Traveler's Wife"/>
        <s v="The Tipping Point: How Little Things Can Make a Big Difference"/>
        <s v="Good to Great: Why Some Companies Make the Leap and Others Don't"/>
        <s v="Three Cups of Tea: One Man's Mission to Promote Peace - One School at a Time"/>
        <s v="The Five Dysfunctions of a Team: A Leadership Fable"/>
        <s v="Dog Days (Diary of a Wimpy Kid, Book 4) (Volume 4)"/>
        <s v="Mastering the Art of French Cooking, Vol. 2"/>
        <s v="Have a Little Faith: A True Story"/>
        <s v="The Elegance of the Hedgehog"/>
        <s v="The 5000 Year Leap"/>
        <s v="The Love Dare"/>
        <s v="Going Rogue: An American Life"/>
        <s v="Super Freakonomics: Global Cooling, Patriotic Prostitutes, and Why Suicide Bombers Should Buy Life Insurance"/>
        <s v="Crazy Love: Overwhelmed by a Relentless God"/>
        <s v="Dead And Gone: A Sookie Stackhouse Novel (Sookie Stackhouse/True Blood)"/>
        <s v="Glenn Beck's Common Sense: The Case Against an Out-of-Control Government, Inspired by Thomas Paine"/>
        <s v="I, Alex Cross"/>
        <s v="Sookie Stackhouse"/>
        <s v="Eat This, Not That! Thousands of Simple Food Swaps that Can Save You 10, 20, 30 Pounds--or More!"/>
        <s v="The Book of Basketball: The NBA According to The Sports Guy"/>
        <s v="The Five Love Languages: How to Express Heartfelt Commitment to Your Mate"/>
        <s v="Arguing with Idiots: How to Stop Small Minds and Big Government"/>
        <s v="Eat This Not That! Supermarket Survival Guide: The No-Diet Weight Loss Solution"/>
        <s v="True Compass: A Memoir"/>
        <s v="Divine Soul Mind Body Healing and Transmission System: The Divine Way to Heal You, Humanity, Mother Earth, and All…"/>
        <s v="The Hunger Games"/>
        <s v="Unbroken: A World War II Story of Survival, Resilience, and Redemption"/>
        <s v="Mockingjay (The Hunger Games)"/>
        <s v="Catching Fire (The Hunger Games)"/>
        <s v="The Art of Racing in the Rain: A Novel"/>
        <s v="The Immortal Life of Henrietta Lacks"/>
        <s v="The Girl Who Kicked the Hornet's Nest (Millennium Trilogy)"/>
        <s v="The Girl Who Played with Fire (Millennium Series)"/>
        <s v="Cutting for Stone"/>
        <s v="The Lost Hero (Heroes of Olympus, Book 1)"/>
        <s v="The Ugly Truth (Diary of a Wimpy Kid, Book 5)"/>
        <s v="Sarah's Key"/>
        <s v="The Big Short: Inside the Doomsday Machine"/>
        <s v="The Confession: A Novel"/>
        <s v="The 5 Love Languages: The Secret to Love That Lasts"/>
        <s v="Life"/>
        <s v="Drive: The Surprising Truth About What Motivates Us"/>
        <s v="Towers of Midnight (Wheel of Time, Book Thirteen)"/>
        <s v="The Red Pyramid (The Kane Chronicles, Book 1)"/>
        <s v="Decision Points"/>
        <s v="The Short Second Life of Bree Tanner: An Eclipse Novella (The Twilight Saga)"/>
        <s v="Radical: Taking Back Your Faith from the American Dream"/>
        <s v="Dead in the Family (Sookie Stackhouse/True Blood, Book 10)"/>
        <s v="Switch: How to Change Things When Change Is Hard"/>
        <s v="Delivering Happiness: A Path to Profits, Passion, and Purpose"/>
        <s v="Food Rules: An Eater's Manual"/>
        <s v="Little Bee: A Novel"/>
        <s v="Women Food and God: An Unexpected Path to Almost Everything"/>
        <s v="Sh*t My Dad Says"/>
        <s v="Game Change: Obama and the Clintons, McCain and Palin, and the Race of a Lifetime"/>
        <s v="The Road to Serfdom: Text and Documents--The Definitive Edition (The Collected Works of F. A. Hayek, Volume 2)"/>
        <s v="The Official SAT Study Guide"/>
        <s v="Teach Like a Champion: 49 Techniques that Put Students on the Path to College"/>
        <s v="Barefoot Contessa, How Easy Is That?: Fabulous Recipes &amp; Easy Tips"/>
        <s v="Percy Jackson and the Olympians Paperback Boxed Set (Books 1-3)"/>
        <s v="Autobiography of Mark Twain, Vol. 1"/>
        <s v="Broke: The Plan to Restore Our Trust, Truth and Treasure"/>
        <s v="A Patriot's History of the United States: From Columbus's Great Discovery to the War on Terror"/>
        <s v="The Daily Show with Jon Stewart Presents Earth (The Book): A Visitor's Guide to the Human Race"/>
        <s v="George Washington's Sacred Fire"/>
        <s v="The Hunger Games (Book 1)"/>
        <s v="Jesus Calling: Enjoying Peace in His Presence (with Scripture References)"/>
        <s v="The Hunger Games Trilogy Boxed Set (1)"/>
        <s v="Heaven is for Real: A Little Boy's Astounding Story of His Trip to Heaven and Back"/>
        <s v="A Dance with Dragons (A Song of Ice and Fire)"/>
        <s v="Thinking, Fast and Slow"/>
        <s v="Go the F**k to Sleep"/>
        <s v="Killing Lincoln: The Shocking Assassination that Changed America Forever (Bill O'Reilly's Killing Series)"/>
        <s v="Water for Elephants: A Novel"/>
        <s v="Steve Jobs"/>
        <s v="Eat to Live: The Amazing Nutrient-Rich Program for Fast and Sustained Weight Loss, Revised Edition"/>
        <s v="The Litigators"/>
        <s v="Tina Fey: Bossypants"/>
        <s v="Game of Thrones Boxed Set: A Game of Thrones/A Clash of Kings/A Storm of Swords/A Feast for Crows"/>
        <s v="Inheritance: Book IV (Inheritance Cycle)"/>
        <s v="The China Study: The Most Comprehensive Study of Nutrition Ever Conducted And the Startling Implications for Diet…"/>
        <s v="The 4 Hour Body: An Uncommon Guide to Rapid Fat Loss, Incredible Sex and Becoming Superhuman"/>
        <s v="In the Garden of Beasts: Love, Terror, and an American Family in Hitler's Berlin"/>
        <s v="Cabin Fever (Diary of a Wimpy Kid, Book 6)"/>
        <s v="The Son of Neptune (Heroes of Olympus, Book 2)"/>
        <s v="The Lego Ideas Book: Unlock Your Imagination"/>
        <s v="A Stolen Life: A Memoir"/>
        <s v="The Paris Wife: A Novel"/>
        <s v="What to Expect When You're Expecting"/>
        <s v="One Thousand Gifts: A Dare to Live Fully Right Where You Are"/>
        <s v="The 17 Day Diet: A Doctor's Plan Designed for Rapid Results"/>
        <s v="Dead Reckoning (Sookie Stackhouse/True Blood, Book 11)"/>
        <s v="11/22/63: A Novel"/>
        <s v="The Dukan Diet: 2 Steps to Lose the Weight, 2 Steps to Keep It Off Forever"/>
        <s v="Love Wins: A Book About Heaven, Hell, and the Fate of Every Person Who Ever Lived"/>
        <s v="The Throne of Fire (The Kane Chronicles, Book 2)"/>
        <s v="Gone Girl"/>
        <s v="The Fault in Our Stars"/>
        <s v="Fifty Shades of Grey: Book One of the Fifty Shades Trilogy (Fifty Shades of Grey Series)"/>
        <s v="Fifty Shades Darker"/>
        <s v="Oh, the Places You'll Go!"/>
        <s v="Fifty Shades Freed: Book Three of the Fifty Shades Trilogy (Fifty Shades of Grey Series) (English Edition)"/>
        <s v="Wild: From Lost to Found on the Pacific Crest Trail"/>
        <s v="The Racketeer"/>
        <s v="Fifty Shades Trilogy (Fifty Shades of Grey / Fifty Shades Darker / Fifty Shades Freed)"/>
        <s v="Proof of Heaven: A Neurosurgeon's Journey into the Afterlife"/>
        <s v="The Great Gatsby"/>
        <s v="The Harbinger: The Ancient Mystery that Holds the Secret of America's Future"/>
        <s v="The Power of Habit: Why We Do What We Do in Life and Business"/>
        <s v="Winter of the World: Book Two of the Century Trilogy"/>
        <s v="Quiet: The Power of Introverts in a World That Can't Stop Talking"/>
        <s v="The Casual Vacancy"/>
        <s v="Killing Kennedy: The End of Camelot"/>
        <s v="No Easy Day: The Autobiography of a Navy Seal: The Firsthand Account of the Mission That Killed Osama Bin Laden"/>
        <s v="Wheat Belly: Lose the Wheat, Lose the Weight, and Find Your Path Back to Health"/>
        <s v="Goodnight, Goodnight Construction Site (Hardcover Books for Toddlers, Preschool Books for Kids)"/>
        <s v="The Third Wheel (Diary of a Wimpy Kid, Book 7)"/>
        <s v="The Mark of Athena (Heroes of Olympus, Book 3)"/>
        <s v="The Pioneer Woman Cooks: Food from My Frontier"/>
        <s v="The Amateur"/>
        <s v="The Serpent's Shadow (The Kane Chronicles, Book 3)"/>
        <s v="Thomas Jefferson: The Art of Power"/>
        <s v="The Blood Sugar Solution: The UltraHealthy Program for Losing Weight, Preventing Disease, and Feeling Great Now!"/>
        <s v="Barefoot Contessa Foolproof: Recipes You Can Trust: A Cookbook"/>
        <s v="The Goldfinch: A Novel (Pulitzer Prize for Fiction)"/>
        <s v="Inferno"/>
        <s v="Divergent"/>
        <s v="To Kill a Mockingbird"/>
        <s v="The Four Agreements: A Practical Guide to Personal Freedom (A Toltec Wisdom Book)"/>
        <s v="The Book Thief"/>
        <s v="Sycamore Row (Jake Brigance)"/>
        <s v="Wonder"/>
        <s v="The Very Hungry Caterpillar"/>
        <s v="Doctor Sleep: A Novel"/>
        <s v="And the Mountains Echoed"/>
        <s v="Killing Jesus (Bill O'Reilly's Killing Series)"/>
        <s v="The Day the Crayons Quit"/>
        <s v="Rush Revere and the Brave Pilgrims: Time-Travel Adventures with Exceptional Americans (1)"/>
        <s v="Things That Matter: Three Decades of Passions, Pastimes and Politics [Deckled Edge]"/>
        <s v="Laugh-Out-Loud Jokes for Kids"/>
        <s v="The House of Hades (Heroes of Olympus, Book 4)"/>
        <s v="Diary of a Wimpy Kid: Hard Luck, Book 8"/>
        <s v="Diagnostic and Statistical Manual of Mental Disorders, 5th Edition: DSM-5"/>
        <s v="Allegiant"/>
        <s v="Lean In: Women, Work, and the Will to Lead"/>
        <s v="The Legend of Zelda: Hyrule Historia"/>
        <s v="Hyperbole and a Half: Unfortunate Situations, Flawed Coping Mechanisms, Mayhem, and Other Things That Happened"/>
        <s v="George Washington's Secret Six: The Spy Ring That Saved the American Revolution"/>
        <s v="Joyland (Hard Case Crime)"/>
        <s v="David and Goliath: Underdogs, Misfits, and the Art of Battling Giants"/>
        <s v="Happy, Happy, Happy: My Life and Legacy as the Duck Commander"/>
        <s v="Knock-Knock Jokes for Kids"/>
        <s v="Humans of New York"/>
        <s v="The Pioneer Woman Cooks: A Year of Holidays: 140 Step-by-Step Recipes for Simple, Scrumptious Celebrations"/>
        <s v="Shred: The Revolutionary Diet: 6 Weeks 4 Inches 2 Sizes"/>
        <s v="Daring Greatly: How the Courage to Be Vulnerable Transforms the Way We Live, Love, Parent, and Lead"/>
        <s v="Soul Healing Miracles: Ancient and New Sacred Wisdom, Knowledge, and Practical Techniques for Healing the Spiritual…"/>
        <s v="All the Light We Cannot See"/>
        <s v="The Alchemist"/>
        <s v="How to Win Friends &amp; Influence People"/>
        <s v="The Boys in the Boat: Nine Americans and Their Epic Quest for Gold at the 1936 Berlin Olympics"/>
        <s v="Orphan Train"/>
        <s v="A Game of Thrones / A Clash of Kings / A Storm of Swords / A Feast of Crows / A Dance with Dragons"/>
        <s v="Love You Forever"/>
        <s v="Divergent / Insurgent"/>
        <s v="First 100 Words"/>
        <s v="Thug Kitchen: The Official Cookbook: Eat Like You Give a F*ck (Thug Kitchen Cookbooks)"/>
        <s v="Killing Patton: The Strange Death of World War II's Most Audacious General (Bill O'Reilly's Killing Series)"/>
        <s v="The Maze Runner (Book 1)"/>
        <s v="What If?: Serious Scientific Answers to Absurd Hypothetical Questions"/>
        <s v="Looking for Alaska"/>
        <s v="The Book with No Pictures"/>
        <s v="If I Stay"/>
        <s v="The Blood of Olympus (The Heroes of Olympus (5))"/>
        <s v="Diary of a Wimpy Kid: The Long Haul"/>
        <s v="Grain Brain: The Surprising Truth about Wheat, Carbs, and Sugar--Your Brain's Silent Killers"/>
        <s v="Mindset: The New Psychology of Success"/>
        <s v="Rush Revere and the First Patriots: Time-Travel Adventures With Exceptional Americans (2)"/>
        <s v="Frozen (Little Golden Book)"/>
        <s v="Capital in the Twenty First Century"/>
        <s v="Ultimate Sticker Book: Frozen: More Than 60 Reusable Full-Color Stickers"/>
        <s v="Little Blue Truck"/>
        <s v="Make It Ahead: A Barefoot Contessa Cookbook"/>
        <s v="JOURNEY TO THE ICE P"/>
        <s v="The Girl on the Train"/>
        <s v="The Nightingale: A Novel"/>
        <s v="The Martian"/>
        <s v="Grey: Fifty Shades of Grey as Told by Christian (Fifty Shades of Grey Series)"/>
        <s v="The Life-Changing Magic of Tidying Up: The Japanese Art of Decluttering and Organizing"/>
        <s v="American Sniper: The Autobiography of the Most Lethal Sniper in U.S. Military History"/>
        <s v="Go Set a Watchman: A Novel"/>
        <s v="Giraffes Can't Dance"/>
        <s v="Being Mortal: Medicine and What Matters in the End"/>
        <s v="Dear Zoo: A Lift-the-Flap Book"/>
        <s v="Between the World and Me"/>
        <s v="Secret Garden: An Inky Treasure Hunt and Coloring Book (For Adults, mindfulness coloring)"/>
        <s v="The Whole30: The 30-Day Guide to Total Health and Food Freedom"/>
        <s v="Old School (Diary of a Wimpy Kid #10)"/>
        <s v="The Wright Brothers"/>
        <s v="Enchanted Forest: An Inky Quest and Coloring book (Activity Books, Mindfulness and Meditation, Illustrated Floral Prints…"/>
        <s v="Baby Touch and Feel: Animals"/>
        <s v="Killing Reagan: The Violent Assault That Changed a Presidency (Bill O'Reilly's Killing Series)"/>
        <s v="Creative Haven Creative Cats Coloring Book (Adult Coloring)"/>
        <s v="Creative Haven Owls Coloring Book (Adult Coloring)"/>
        <s v="Harry Potter Coloring Book"/>
        <s v="The Pioneer Woman Cooks: Dinnertime - Comfort Classics, Freezer Food, 16-minute Meals, and Other Delicious Ways to Solve…"/>
        <s v="Adult Coloring Book: Stress Relieving Patterns"/>
        <s v="Adult Coloring Book: Stress Relieving Animal Designs"/>
        <s v="Humans of New York : Stories"/>
        <s v="Adult Coloring Books: A Coloring Book for Adults Featuring Mandalas and Henna Inspired Flowers, Animals, and Paisley…"/>
        <s v="Dover Creative Haven Art Nouveau Animal Designs Coloring Book (Creative Haven Coloring Books)"/>
        <s v="Balance (Angie's Extreme Stress Menders)"/>
        <s v="What Pet Should I Get? (Classic Seuss)"/>
        <s v="Harry Potter and the Cursed Child, Parts 1 &amp; 2, Special Rehearsal Edition Script"/>
        <s v="A Man Called Ove: A Novel"/>
        <s v="Harry Potter and the Chamber of Secrets: The Illustrated Edition (Harry Potter, Book 2)"/>
        <s v="Milk and Honey"/>
        <s v="10-Day Green Smoothie Cleanse"/>
        <s v="Hillbilly Elegy: A Memoir of a Family and Culture in Crisis"/>
        <s v="You Are a Badass: How to Stop Doubting Your Greatness and Start Living an Awesome Life"/>
        <s v="When Breath Becomes Air"/>
        <s v="Harry Potter Paperback Box Set (Books 1-7)"/>
        <s v="Fahrenheit 451"/>
        <s v="Calm the F*ck Down: An Irreverent Adult Coloring Book (Irreverent Book Series)"/>
        <s v="Harry Potter and the Sorcerer's Stone: The Illustrated Edition (Harry Potter, Book 1)"/>
        <s v="Alexander Hamilton"/>
        <s v="Killing the Rising Sun: How America Vanquished World War II Japan (Bill O'Reilly's Killing Series)"/>
        <s v="The Wonderful Things You Will Be"/>
        <s v="The Magnolia Story"/>
        <s v="Hamilton: The Revolution"/>
        <s v="The Going-To-Bed Book"/>
        <s v="Night (Night)"/>
        <s v="Double Down (Diary of a Wimpy Kid #11)"/>
        <s v="Cravings: Recipes for All the Food You Want to Eat: A Cookbook"/>
        <s v="Uninvited: Living Loved When You Feel Less Than, Left Out, and Lonely"/>
        <s v="Fantastic Beasts and Where to Find Them: The Original Screenplay (Harry Potter)"/>
        <s v="Born to Run"/>
        <s v="Pokémon Deluxe Essential Handbook: The Need-to-Know Stats and Facts on Over 700 Pokémon"/>
        <s v="The Constitution of the United States"/>
        <s v="Adult Coloring Book Designs: Stress Relief Coloring Book: Garden Designs, Mandalas, Animals, and Paisley Patterns"/>
        <s v="The Official SAT Study Guide, 2016 Edition (Official Study Guide for the New Sat)"/>
        <s v="The Handmaid's Tale"/>
        <s v="The Subtle Art of Not Giving a F*ck: A Counterintuitive Approach to Living a Good Life"/>
        <s v="Ready Player One: A Novel"/>
        <s v="1984 (Signet Classics)"/>
        <s v="A Gentleman in Moscow: A Novel"/>
        <s v="Origin: A Novel (Robert Langdon)"/>
        <s v="Player's Handbook (Dungeons &amp; Dragons)"/>
        <s v="If Animals Kissed Good Night"/>
        <s v="Brown Bear, Brown Bear, What Do You See?"/>
        <s v="Make Your Bed: Little Things That Can Change Your Life...And Maybe the World"/>
        <s v="The Pout-Pout Fish"/>
        <s v="Astrophysics for People in a Hurry"/>
        <s v="Goodnight Moon"/>
        <s v="Killers of the Flower Moon: The Osage Murders and the Birth of the FBI"/>
        <s v="Thirteen Reasons Why"/>
        <s v="The Instant Pot Electric Pressure Cooker Cookbook: Easy Recipes for Fast &amp; Healthy Meals"/>
        <s v="The Getaway"/>
        <s v="What Happened"/>
        <s v="The Sun and Her Flowers"/>
        <s v="Dog Man: A Tale of Two Kitties: From the Creator of Captain Underpants (Dog Man #3)"/>
        <s v="Puppy Birthday to You! (Paw Patrol) (Little Golden Book)"/>
        <s v="Tools of Titans: The Tactics, Routines, and Habits of Billionaires, Icons, and World-Class Performers"/>
        <s v="Obama: An Intimate Portrait"/>
        <s v="Harry Potter and the Prisoner of Azkaban: The Illustrated Edition (Harry Potter, Book 3)"/>
        <s v="Milk and Vine: Inspirational Quotes From Classic Vines"/>
        <s v="Leonardo da Vinci"/>
        <s v="Option B: Facing Adversity, Building Resilience, and Finding Joy"/>
        <s v="Becoming"/>
        <s v="The Wonky Donkey"/>
        <s v="Educated: A Memoir"/>
        <s v="Little Fires Everywhere"/>
        <s v="School Zone - Big Preschool Workbook - Ages 4 and Up, Colors, Shapes, Numbers 1-10, Alphabet, Pre-Writing, Pre-Reading…"/>
        <s v="Girl, Wash Your Face: Stop Believing the Lies About Who You Are So You Can Become Who You Were Meant to Be"/>
        <s v="12 Rules for Life: An Antidote to Chaos"/>
        <s v="Fire and Fury: Inside the Trump White House"/>
        <s v="The Complete Ketogenic Diet for Beginners: Your Essential Guide to Living the Keto Lifestyle"/>
        <s v="Last Week Tonight with John Oliver Presents A Day in the Life of Marlon Bundo (Better Bundo Book, LGBT Childrens Book)"/>
        <s v="P is for Potty! (Sesame Street) (Lift-the-Flap)"/>
        <s v="The President Is Missing: A Novel"/>
        <s v="The Hate U Give"/>
        <s v="Magnolia Table: A Collection of Recipes for Gathering"/>
        <s v="Salt, Fat, Acid, Heat: Mastering the Elements of Good Cooking"/>
        <s v="Lettering and Modern Calligraphy: A Beginner's Guide: Learn Hand Lettering and Brush Lettering"/>
        <s v="Instant Pot Pressure Cooker Cookbook: 500 Everyday Recipes for Beginners and Advanced Users. Try Easy and Healthy…"/>
        <s v="Dog Man: Brawl of the Wild: From the Creator of Captain Underpants (Dog Man #6)"/>
        <s v="The Plant Paradox: The Hidden Dangers in &quot;Healthy&quot; Foods That Cause Disease and Weight Gain"/>
        <s v="Whose Boat Is This Boat?: Comments That Don't Help in the Aftermath of a Hurricane"/>
        <s v="Crazy Rich Asians (Crazy Rich Asians Trilogy)"/>
        <s v="Fear: Trump in the White House"/>
        <s v="A Higher Loyalty: Truth, Lies, and Leadership"/>
        <s v="The Meltdown (Diary of a Wimpy Kid Book 13)"/>
        <s v="Dog Man: Lord of the Fleas: From the Creator of Captain Underpants (Dog Man #5)"/>
        <s v="A Wrinkle in Time (Time Quintet)"/>
        <s v="Dog Man and Cat Kid: From the Creator of Captain Underpants (Dog Man #4)"/>
        <s v="Ship of Fools: How a Selfish Ruling Class Is Bringing America to the Brink of Revolution"/>
        <s v="Homebody: A Guide to Creating Spaces You Never Want to Leave"/>
        <s v="The Plant Paradox Cookbook: 100 Delicious Recipes to Help You Lose Weight, Heal Your Gut, and Live Lectin-Free"/>
        <s v="Kitchen Confidential Updated Edition: Adventures in the Culinary Underbelly (P.S.)"/>
        <s v="Where the Crawdads Sing"/>
        <s v="The Silent Patient"/>
        <s v="Can't Hurt Me: Master Your Mind and Defy the Odds"/>
        <s v="The Guardians: A Novel"/>
        <s v="Dog Man: Fetch-22: From the Creator of Captain Underpants (Dog Man #8)"/>
        <s v="The Body Keeps the Score: Brain, Mind, and Body in the Healing of Trauma"/>
        <s v="The Total Money Makeover: Classic Edition: A Proven Plan for Financial Fitness"/>
        <s v="Good Days Start With Gratitude: A 52 Week Guide To Cultivate An Attitude Of Gratitude: Gratitude Journal"/>
        <s v="I Am Confident, Brave &amp; Beautiful: A Coloring Book for Girls"/>
        <s v="Wrecking Ball (Diary of a Wimpy Kid Book 14)"/>
        <s v="Strange Planet (Strange Planet Series)"/>
        <s v="Dog Man: For Whom the Ball Rolls: From the Creator of Captain Underpants (Dog Man #7)"/>
        <s v="The Unofficial Harry Potter Cookbook: From Cauldron Cakes to Knickerbocker Glory--More Than 150 Magical Recipes for…"/>
        <s v="What Should Danny Do? (The Power to Choose Series)"/>
        <s v="Difficult Riddles For Smart Kids: 300 Difficult Riddles And Brain Teasers Families Will Love (Books for Smart Kids)"/>
        <s v="National Geographic Little Kids First Big Book of Why (National Geographic Little Kids First Big Books)"/>
        <s v="Harry Potter and the Goblet of Fire: The Illustrated Edition (Harry Potter, Book 4) (4)"/>
        <s v="5,000 Awesome Facts (About Everything!) (National Geographic Kids)"/>
        <s v="Girl, Stop Apologizing: A Shame-Free Plan for Embracing and Achieving Your Goals"/>
        <s v="It's Not Supposed to Be This Way: Finding Unexpected Strength When Disappointments Leave You Shattered"/>
        <s v="Unicorn Coloring Book: For Kids Ages 4-8 (US Edition) (Silly Bear Coloring Books)"/>
        <s v="Unfreedom of the Press"/>
        <s v="Guts"/>
        <s v="National Geographic Kids Why?: Over 1,111 Answers to Everything"/>
        <s v="Howard Stern Comes Again"/>
        <s v="The Mueller Report"/>
      </sharedItems>
    </cacheField>
    <cacheField name="Author" numFmtId="0">
      <sharedItems count="248">
        <s v="William P. Young"/>
        <s v="Kathryn Stockett"/>
        <s v="Stephenie Meyer"/>
        <s v="Stieg Larsson"/>
        <s v="Malcolm Gladwell"/>
        <s v="Maurice Sendak"/>
        <s v="Stephen R. Covey"/>
        <s v="Dan Brown"/>
        <s v="Mary Ann Shaffer"/>
        <s v="American Psychological Association"/>
        <s v="Stephen King"/>
        <s v="Gallup"/>
        <s v="Steve Harvey"/>
        <s v="Rick Riordan"/>
        <s v="Elizabeth Strout"/>
        <s v="Randy Pausch"/>
        <s v="Jeff Kinney"/>
        <s v="Alan Moore"/>
        <s v="Mark R. Levin"/>
        <s v="Audrey Niffenegger"/>
        <s v="Jim Collins"/>
        <s v="Greg Mortenson"/>
        <s v="Patrick Lencioni"/>
        <s v="Julia Child"/>
        <s v="Mitch Albom"/>
        <s v="Muriel Barbery"/>
        <s v="W. Cleon Skousen"/>
        <s v="Stephen Kendrick"/>
        <s v="Sarah Palin"/>
        <s v="Steven D. Levitt"/>
        <s v="Francis Chan"/>
        <s v="Charlaine Harris"/>
        <s v="Glenn Beck"/>
        <s v="James Patterson"/>
        <s v="David Zinczenko"/>
        <s v="Bill Simmons"/>
        <s v="Gary Chapman"/>
        <s v="Edward M. Kennedy"/>
        <s v="Zhi Gang Sha"/>
        <s v="Suzanne Collins"/>
        <s v="Laura Hillenbrand"/>
        <s v="Garth Stein"/>
        <s v="Rebecca Skloot"/>
        <s v="Abraham Verghese"/>
        <s v="Tatiana de Rosnay"/>
        <s v="Michael Lewis"/>
        <s v="John Grisham"/>
        <s v="Keith Richards"/>
        <s v="Daniel H. Pink"/>
        <s v="Robert Jordan"/>
        <s v="George W. Bush"/>
        <s v="David Platt"/>
        <s v="Chip Heath"/>
        <s v="Tony Hsieh"/>
        <s v="Michael Pollan"/>
        <s v="Chris Cleave"/>
        <s v="Geneen Roth"/>
        <s v="Justin Halpern"/>
        <s v="John Heilemann"/>
        <s v="F. A. Hayek"/>
        <s v="The College Board"/>
        <s v="Doug Lemov"/>
        <s v="Ina Garten"/>
        <s v="Mark Twain"/>
        <s v="Larry Schweikart"/>
        <s v="Jon Stewart"/>
        <s v="Peter A. Lillback"/>
        <s v="Sarah Young"/>
        <s v="Todd Burpo"/>
        <s v="George R. R. Martin"/>
        <s v="Daniel Kahneman"/>
        <s v="Adam Mansbach"/>
        <s v="Bill O'Reilly"/>
        <s v="Sara Gruen"/>
        <s v="Walter Isaacson"/>
        <s v="Joel Fuhrman MD"/>
        <s v="Tina Fey"/>
        <s v="George R.R. Martin"/>
        <s v="Christopher Paolini"/>
        <s v="Thomas Campbell"/>
        <s v="Timothy Ferriss"/>
        <s v="Eric Larson"/>
        <s v="Daniel Lipkowitz"/>
        <s v="Jaycee Dugard"/>
        <s v="Paula McLain"/>
        <s v="Heidi Murkoff"/>
        <s v="Ann Voskamp"/>
        <s v="Mike Moreno"/>
        <s v="Pierre Dukan"/>
        <s v="Rob Bell"/>
        <s v="Gillian Flynn"/>
        <s v="John Green"/>
        <s v="E L James"/>
        <s v="Dr. Seuss"/>
        <s v="Cheryl Strayed"/>
        <s v="Eben Alexander"/>
        <s v="F. Scott Fitzgerald"/>
        <s v="Jonathan Cahn"/>
        <s v="Charles Duhigg"/>
        <s v="Ken Follett"/>
        <s v="Susan Cain"/>
        <s v="J.K. Rowling"/>
        <s v="Mark Owen"/>
        <s v="William Davis"/>
        <s v="Sherri Duskey Rinker"/>
        <s v="Ree Drummond"/>
        <s v="Edward Klein"/>
        <s v="Jon Meacham"/>
        <s v="Mark Hyman M.D."/>
        <s v="Donna Tartt"/>
        <s v="Veronica Roth"/>
        <s v="Harper Lee"/>
        <s v="Don Miguel Ruiz"/>
        <s v="Markus Zusak"/>
        <s v="R. J. Palacio"/>
        <s v="Eric Carle"/>
        <s v="Khaled Hosseini"/>
        <s v="Drew Daywalt"/>
        <s v="Rush Limbaugh"/>
        <s v="Charles Krauthammer"/>
        <s v="Rob Elliott"/>
        <s v="American Psychiatric Association"/>
        <s v="Sheryl Sandberg"/>
        <s v="Patrick Thorpe"/>
        <s v="Allie Brosh"/>
        <s v="Brian Kilmeade"/>
        <s v="Phil Robertson"/>
        <s v="Brandon Stanton"/>
        <s v="Ian K. Smith M.D."/>
        <s v="Brené Brown"/>
        <s v="Anthony Doerr"/>
        <s v="Paulo Coelho"/>
        <s v="Dale Carnegie"/>
        <s v="Daniel James Brown"/>
        <s v="Christina Baker Kline"/>
        <s v="Robert Munsch"/>
        <s v="Roger Priddy"/>
        <s v="Thug Kitchen"/>
        <s v="James Dashner"/>
        <s v="Randall Munroe"/>
        <s v="B. J. Novak"/>
        <s v="Gayle Forman"/>
        <s v="David Perlmutter MD"/>
        <s v="Carol S. Dweck"/>
        <s v="RH Disney"/>
        <s v="Thomas Piketty"/>
        <s v="DK"/>
        <s v="Alice Schertle"/>
        <s v="Paula Hawkins"/>
        <s v="Kristin Hannah"/>
        <s v="Andy Weir"/>
        <s v="Marie Kondō"/>
        <s v="Chris Kyle"/>
        <s v="Giles Andreae"/>
        <s v="Atul Gawande"/>
        <s v="Rod Campbell"/>
        <s v="Ta-Nehisi Coates"/>
        <s v="Johanna Basford"/>
        <s v="Melissa Hartwig Urban"/>
        <s v="David McCullough"/>
        <s v="Marjorie Sarnat"/>
        <s v="Scholastic"/>
        <s v="Blue Star Coloring"/>
        <s v="Coloring Books for Adults"/>
        <s v="Marty Noble"/>
        <s v="Angie Grace"/>
        <s v="Fredrik Backman"/>
        <s v="Rupi Kaur"/>
        <s v="JJ Smith"/>
        <s v="J. D. Vance"/>
        <s v="Jen Sincero"/>
        <s v="Paul Kalanithi"/>
        <s v="J. K. Rowling"/>
        <s v="Ray Bradbury"/>
        <s v="Sasha O'Hara"/>
        <s v="Ron Chernow"/>
        <s v="Emily Winfield Martin"/>
        <s v="Chip Gaines"/>
        <s v="Lin-Manuel Miranda"/>
        <s v="Sandra Boynton"/>
        <s v="Elie Wiesel"/>
        <s v="Chrissy Teigen"/>
        <s v="Lysa TerKeurst"/>
        <s v="Bruce Springsteen"/>
        <s v="Delegates of the Constitutional"/>
        <s v="Adult Coloring Book Designs"/>
        <s v="Margaret Atwood"/>
        <s v="Mark Manson"/>
        <s v="Ernest Cline"/>
        <s v="George Orwell"/>
        <s v="Amor Towles"/>
        <s v="Wizards RPG Team"/>
        <s v="Ann Whitford Paul"/>
        <s v="Bill Martin Jr."/>
        <s v="Admiral William H. McRaven"/>
        <s v="Deborah Diesen"/>
        <s v="Neil deGrasse Tyson"/>
        <s v="Margaret Wise Brown"/>
        <s v="David Grann"/>
        <s v="Jay Asher"/>
        <s v="Laurel Randolph"/>
        <s v="Hillary Rodham Clinton"/>
        <s v="Dav Pilkey"/>
        <s v="Golden Books"/>
        <s v="Pete Souza"/>
        <s v="Adam Gasiewski"/>
        <s v="Michelle Obama"/>
        <s v="Craig Smith"/>
        <s v="Tara Westover"/>
        <s v="Celeste Ng"/>
        <s v="School Zone"/>
        <s v="Rachel Hollis"/>
        <s v="Jordan B. Peterson"/>
        <s v="Michael Wolff"/>
        <s v="Amy Ramos"/>
        <s v="Jill Twiss"/>
        <s v="Naomi Kleinberg"/>
        <s v="Angie Thomas"/>
        <s v="Joanna Gaines"/>
        <s v="Samin Nosrat"/>
        <s v="Paper Peony Press"/>
        <s v="Jennifer Smith"/>
        <s v="Dr. Steven R Gundry MD"/>
        <s v="The Staff of The Late Show with"/>
        <s v="Kevin Kwan"/>
        <s v="Bob Woodward"/>
        <s v="James Comey"/>
        <s v="Madeleine L'Engle"/>
        <s v="Tucker Carlson"/>
        <s v="Anthony Bourdain"/>
        <s v="Delia Owens"/>
        <s v="Alex Michaelides"/>
        <s v="David Goggins"/>
        <s v="Bessel van der Kolk M.D."/>
        <s v="Dave Ramsey"/>
        <s v="Pretty Simple Press"/>
        <s v="Hopscotch Girls"/>
        <s v="Nathan W. Pyle"/>
        <s v="Dinah Bucholz"/>
        <s v="Adir Levy"/>
        <s v="M Prefontaine"/>
        <s v="Amy Shields"/>
        <s v="National Geographic Kids"/>
        <s v="Silly Bear"/>
        <s v="Raina Telgemeier"/>
        <s v="Crispin Boyer"/>
        <s v="Howard Stern"/>
        <s v="The Washington Post"/>
      </sharedItems>
    </cacheField>
    <cacheField name="User Rating" numFmtId="0">
      <sharedItems containsSemiMixedTypes="0" containsString="0" containsNumber="1" containsInteger="1" minValue="4" maxValue="49"/>
    </cacheField>
    <cacheField name="Reviews" numFmtId="0">
      <sharedItems containsSemiMixedTypes="0" containsString="0" containsNumber="1" containsInteger="1" minValue="37" maxValue="87841"/>
    </cacheField>
    <cacheField name="Price" numFmtId="164">
      <sharedItems containsSemiMixedTypes="0" containsString="0" containsNumber="1" containsInteger="1" minValue="0" maxValue="105"/>
    </cacheField>
    <cacheField name="Year" numFmtId="0">
      <sharedItems containsSemiMixedTypes="0" containsString="0" containsNumber="1" containsInteger="1" minValue="2009" maxValue="2019"/>
    </cacheField>
    <cacheField name="Genre" numFmtId="0">
      <sharedItems count="2">
        <s v="Fiction"/>
        <s v="Non Fiction"/>
      </sharedItems>
    </cacheField>
    <cacheField name="Sales_Per_Reviews" numFmtId="164">
      <sharedItems containsSemiMixedTypes="0" containsString="0" containsNumber="1" containsInteger="1" minValue="0" maxValue="1430028"/>
    </cacheField>
    <cacheField name="Recommend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0">
  <r>
    <x v="0"/>
    <x v="0"/>
    <x v="0"/>
    <x v="0"/>
    <x v="0"/>
    <x v="0"/>
    <x v="0"/>
    <x v="0"/>
    <s v="recommended"/>
  </r>
  <r>
    <x v="1"/>
    <x v="1"/>
    <x v="1"/>
    <x v="1"/>
    <x v="1"/>
    <x v="0"/>
    <x v="0"/>
    <x v="1"/>
    <s v="recommended"/>
  </r>
  <r>
    <x v="2"/>
    <x v="2"/>
    <x v="2"/>
    <x v="2"/>
    <x v="2"/>
    <x v="0"/>
    <x v="0"/>
    <x v="2"/>
    <s v="recommended"/>
  </r>
  <r>
    <x v="3"/>
    <x v="3"/>
    <x v="3"/>
    <x v="3"/>
    <x v="3"/>
    <x v="0"/>
    <x v="0"/>
    <x v="3"/>
    <s v="recommended"/>
  </r>
  <r>
    <x v="4"/>
    <x v="4"/>
    <x v="0"/>
    <x v="4"/>
    <x v="4"/>
    <x v="0"/>
    <x v="1"/>
    <x v="4"/>
    <s v="recommended"/>
  </r>
  <r>
    <x v="5"/>
    <x v="5"/>
    <x v="1"/>
    <x v="5"/>
    <x v="5"/>
    <x v="0"/>
    <x v="0"/>
    <x v="5"/>
    <s v="recommended"/>
  </r>
  <r>
    <x v="6"/>
    <x v="2"/>
    <x v="0"/>
    <x v="6"/>
    <x v="5"/>
    <x v="0"/>
    <x v="0"/>
    <x v="6"/>
    <s v="recommended"/>
  </r>
  <r>
    <x v="7"/>
    <x v="6"/>
    <x v="0"/>
    <x v="7"/>
    <x v="6"/>
    <x v="0"/>
    <x v="1"/>
    <x v="7"/>
    <s v="recommended"/>
  </r>
  <r>
    <x v="8"/>
    <x v="7"/>
    <x v="4"/>
    <x v="8"/>
    <x v="7"/>
    <x v="0"/>
    <x v="0"/>
    <x v="8"/>
    <s v="recommended"/>
  </r>
  <r>
    <x v="9"/>
    <x v="8"/>
    <x v="2"/>
    <x v="9"/>
    <x v="8"/>
    <x v="0"/>
    <x v="0"/>
    <x v="9"/>
    <s v="recommended"/>
  </r>
  <r>
    <x v="10"/>
    <x v="9"/>
    <x v="5"/>
    <x v="10"/>
    <x v="9"/>
    <x v="0"/>
    <x v="1"/>
    <x v="10"/>
    <s v="recommended"/>
  </r>
  <r>
    <x v="11"/>
    <x v="3"/>
    <x v="2"/>
    <x v="11"/>
    <x v="10"/>
    <x v="0"/>
    <x v="0"/>
    <x v="11"/>
    <s v="recommended"/>
  </r>
  <r>
    <x v="12"/>
    <x v="10"/>
    <x v="6"/>
    <x v="12"/>
    <x v="4"/>
    <x v="0"/>
    <x v="0"/>
    <x v="12"/>
    <s v="recommended"/>
  </r>
  <r>
    <x v="13"/>
    <x v="2"/>
    <x v="0"/>
    <x v="13"/>
    <x v="8"/>
    <x v="0"/>
    <x v="0"/>
    <x v="13"/>
    <s v="recommended"/>
  </r>
  <r>
    <x v="14"/>
    <x v="2"/>
    <x v="2"/>
    <x v="14"/>
    <x v="11"/>
    <x v="0"/>
    <x v="0"/>
    <x v="14"/>
    <s v="recommended"/>
  </r>
  <r>
    <x v="15"/>
    <x v="2"/>
    <x v="2"/>
    <x v="14"/>
    <x v="12"/>
    <x v="0"/>
    <x v="0"/>
    <x v="15"/>
    <s v="recommended"/>
  </r>
  <r>
    <x v="16"/>
    <x v="11"/>
    <x v="7"/>
    <x v="15"/>
    <x v="13"/>
    <x v="0"/>
    <x v="1"/>
    <x v="16"/>
    <s v="not recommended"/>
  </r>
  <r>
    <x v="17"/>
    <x v="12"/>
    <x v="0"/>
    <x v="16"/>
    <x v="13"/>
    <x v="0"/>
    <x v="1"/>
    <x v="17"/>
    <s v="recommended"/>
  </r>
  <r>
    <x v="18"/>
    <x v="13"/>
    <x v="1"/>
    <x v="17"/>
    <x v="11"/>
    <x v="0"/>
    <x v="0"/>
    <x v="18"/>
    <s v="recommended"/>
  </r>
  <r>
    <x v="19"/>
    <x v="14"/>
    <x v="4"/>
    <x v="18"/>
    <x v="14"/>
    <x v="0"/>
    <x v="0"/>
    <x v="19"/>
    <s v="recommended"/>
  </r>
  <r>
    <x v="20"/>
    <x v="15"/>
    <x v="2"/>
    <x v="19"/>
    <x v="2"/>
    <x v="0"/>
    <x v="1"/>
    <x v="20"/>
    <s v="recommended"/>
  </r>
  <r>
    <x v="21"/>
    <x v="16"/>
    <x v="1"/>
    <x v="20"/>
    <x v="15"/>
    <x v="0"/>
    <x v="0"/>
    <x v="21"/>
    <s v="recommended"/>
  </r>
  <r>
    <x v="22"/>
    <x v="17"/>
    <x v="1"/>
    <x v="21"/>
    <x v="16"/>
    <x v="0"/>
    <x v="0"/>
    <x v="22"/>
    <s v="recommended"/>
  </r>
  <r>
    <x v="23"/>
    <x v="18"/>
    <x v="1"/>
    <x v="22"/>
    <x v="15"/>
    <x v="0"/>
    <x v="1"/>
    <x v="23"/>
    <s v="recommended"/>
  </r>
  <r>
    <x v="24"/>
    <x v="2"/>
    <x v="2"/>
    <x v="23"/>
    <x v="17"/>
    <x v="0"/>
    <x v="0"/>
    <x v="24"/>
    <s v="recommended"/>
  </r>
  <r>
    <x v="25"/>
    <x v="19"/>
    <x v="3"/>
    <x v="24"/>
    <x v="1"/>
    <x v="0"/>
    <x v="0"/>
    <x v="25"/>
    <s v="recommended"/>
  </r>
  <r>
    <x v="26"/>
    <x v="4"/>
    <x v="3"/>
    <x v="25"/>
    <x v="2"/>
    <x v="0"/>
    <x v="1"/>
    <x v="26"/>
    <s v="recommended"/>
  </r>
  <r>
    <x v="27"/>
    <x v="20"/>
    <x v="5"/>
    <x v="26"/>
    <x v="18"/>
    <x v="0"/>
    <x v="1"/>
    <x v="27"/>
    <s v="recommended"/>
  </r>
  <r>
    <x v="28"/>
    <x v="21"/>
    <x v="6"/>
    <x v="27"/>
    <x v="19"/>
    <x v="0"/>
    <x v="1"/>
    <x v="28"/>
    <s v="recommended"/>
  </r>
  <r>
    <x v="29"/>
    <x v="22"/>
    <x v="0"/>
    <x v="28"/>
    <x v="1"/>
    <x v="0"/>
    <x v="1"/>
    <x v="29"/>
    <s v="recommended"/>
  </r>
  <r>
    <x v="30"/>
    <x v="16"/>
    <x v="1"/>
    <x v="29"/>
    <x v="14"/>
    <x v="0"/>
    <x v="0"/>
    <x v="30"/>
    <s v="recommended"/>
  </r>
  <r>
    <x v="31"/>
    <x v="23"/>
    <x v="1"/>
    <x v="30"/>
    <x v="20"/>
    <x v="0"/>
    <x v="1"/>
    <x v="31"/>
    <s v="recommended"/>
  </r>
  <r>
    <x v="32"/>
    <x v="24"/>
    <x v="1"/>
    <x v="31"/>
    <x v="21"/>
    <x v="0"/>
    <x v="1"/>
    <x v="32"/>
    <s v="recommended"/>
  </r>
  <r>
    <x v="33"/>
    <x v="25"/>
    <x v="7"/>
    <x v="32"/>
    <x v="19"/>
    <x v="0"/>
    <x v="0"/>
    <x v="33"/>
    <s v="not recommended"/>
  </r>
  <r>
    <x v="34"/>
    <x v="26"/>
    <x v="1"/>
    <x v="33"/>
    <x v="14"/>
    <x v="0"/>
    <x v="1"/>
    <x v="34"/>
    <s v="recommended"/>
  </r>
  <r>
    <x v="35"/>
    <x v="27"/>
    <x v="1"/>
    <x v="34"/>
    <x v="5"/>
    <x v="0"/>
    <x v="1"/>
    <x v="35"/>
    <s v="recommended"/>
  </r>
  <r>
    <x v="36"/>
    <x v="28"/>
    <x v="0"/>
    <x v="35"/>
    <x v="1"/>
    <x v="0"/>
    <x v="1"/>
    <x v="36"/>
    <s v="recommended"/>
  </r>
  <r>
    <x v="37"/>
    <x v="29"/>
    <x v="5"/>
    <x v="36"/>
    <x v="12"/>
    <x v="0"/>
    <x v="1"/>
    <x v="37"/>
    <s v="recommended"/>
  </r>
  <r>
    <x v="38"/>
    <x v="30"/>
    <x v="2"/>
    <x v="37"/>
    <x v="18"/>
    <x v="0"/>
    <x v="1"/>
    <x v="38"/>
    <s v="recommended"/>
  </r>
  <r>
    <x v="39"/>
    <x v="31"/>
    <x v="0"/>
    <x v="38"/>
    <x v="21"/>
    <x v="0"/>
    <x v="0"/>
    <x v="39"/>
    <s v="recommended"/>
  </r>
  <r>
    <x v="40"/>
    <x v="32"/>
    <x v="0"/>
    <x v="39"/>
    <x v="19"/>
    <x v="0"/>
    <x v="1"/>
    <x v="40"/>
    <s v="recommended"/>
  </r>
  <r>
    <x v="41"/>
    <x v="33"/>
    <x v="0"/>
    <x v="40"/>
    <x v="11"/>
    <x v="0"/>
    <x v="0"/>
    <x v="41"/>
    <s v="recommended"/>
  </r>
  <r>
    <x v="42"/>
    <x v="31"/>
    <x v="2"/>
    <x v="41"/>
    <x v="22"/>
    <x v="0"/>
    <x v="0"/>
    <x v="42"/>
    <s v="recommended"/>
  </r>
  <r>
    <x v="43"/>
    <x v="34"/>
    <x v="6"/>
    <x v="42"/>
    <x v="18"/>
    <x v="0"/>
    <x v="1"/>
    <x v="43"/>
    <s v="recommended"/>
  </r>
  <r>
    <x v="44"/>
    <x v="35"/>
    <x v="2"/>
    <x v="43"/>
    <x v="23"/>
    <x v="0"/>
    <x v="1"/>
    <x v="44"/>
    <s v="recommended"/>
  </r>
  <r>
    <x v="45"/>
    <x v="36"/>
    <x v="0"/>
    <x v="44"/>
    <x v="2"/>
    <x v="0"/>
    <x v="1"/>
    <x v="45"/>
    <s v="recommended"/>
  </r>
  <r>
    <x v="46"/>
    <x v="32"/>
    <x v="0"/>
    <x v="45"/>
    <x v="24"/>
    <x v="0"/>
    <x v="1"/>
    <x v="46"/>
    <s v="recommended"/>
  </r>
  <r>
    <x v="47"/>
    <x v="34"/>
    <x v="5"/>
    <x v="46"/>
    <x v="25"/>
    <x v="0"/>
    <x v="1"/>
    <x v="47"/>
    <s v="recommended"/>
  </r>
  <r>
    <x v="48"/>
    <x v="37"/>
    <x v="5"/>
    <x v="47"/>
    <x v="15"/>
    <x v="0"/>
    <x v="1"/>
    <x v="48"/>
    <s v="recommended"/>
  </r>
  <r>
    <x v="49"/>
    <x v="38"/>
    <x v="0"/>
    <x v="48"/>
    <x v="1"/>
    <x v="0"/>
    <x v="1"/>
    <x v="49"/>
    <s v="recommended"/>
  </r>
  <r>
    <x v="50"/>
    <x v="39"/>
    <x v="2"/>
    <x v="49"/>
    <x v="18"/>
    <x v="1"/>
    <x v="0"/>
    <x v="50"/>
    <s v="recommended"/>
  </r>
  <r>
    <x v="51"/>
    <x v="40"/>
    <x v="1"/>
    <x v="50"/>
    <x v="10"/>
    <x v="1"/>
    <x v="1"/>
    <x v="51"/>
    <s v="recommended"/>
  </r>
  <r>
    <x v="52"/>
    <x v="39"/>
    <x v="5"/>
    <x v="51"/>
    <x v="0"/>
    <x v="1"/>
    <x v="0"/>
    <x v="52"/>
    <s v="recommended"/>
  </r>
  <r>
    <x v="53"/>
    <x v="39"/>
    <x v="2"/>
    <x v="52"/>
    <x v="19"/>
    <x v="1"/>
    <x v="0"/>
    <x v="53"/>
    <s v="recommended"/>
  </r>
  <r>
    <x v="1"/>
    <x v="1"/>
    <x v="1"/>
    <x v="1"/>
    <x v="1"/>
    <x v="1"/>
    <x v="0"/>
    <x v="1"/>
    <s v="recommended"/>
  </r>
  <r>
    <x v="54"/>
    <x v="41"/>
    <x v="2"/>
    <x v="53"/>
    <x v="8"/>
    <x v="1"/>
    <x v="0"/>
    <x v="54"/>
    <s v="recommended"/>
  </r>
  <r>
    <x v="3"/>
    <x v="3"/>
    <x v="3"/>
    <x v="3"/>
    <x v="3"/>
    <x v="1"/>
    <x v="0"/>
    <x v="3"/>
    <s v="recommended"/>
  </r>
  <r>
    <x v="4"/>
    <x v="4"/>
    <x v="0"/>
    <x v="4"/>
    <x v="4"/>
    <x v="1"/>
    <x v="1"/>
    <x v="4"/>
    <s v="recommended"/>
  </r>
  <r>
    <x v="55"/>
    <x v="42"/>
    <x v="2"/>
    <x v="54"/>
    <x v="5"/>
    <x v="1"/>
    <x v="1"/>
    <x v="55"/>
    <s v="recommended"/>
  </r>
  <r>
    <x v="10"/>
    <x v="9"/>
    <x v="5"/>
    <x v="10"/>
    <x v="9"/>
    <x v="1"/>
    <x v="1"/>
    <x v="10"/>
    <s v="recommended"/>
  </r>
  <r>
    <x v="56"/>
    <x v="3"/>
    <x v="2"/>
    <x v="55"/>
    <x v="18"/>
    <x v="1"/>
    <x v="0"/>
    <x v="56"/>
    <s v="recommended"/>
  </r>
  <r>
    <x v="57"/>
    <x v="3"/>
    <x v="2"/>
    <x v="11"/>
    <x v="2"/>
    <x v="1"/>
    <x v="0"/>
    <x v="57"/>
    <s v="recommended"/>
  </r>
  <r>
    <x v="16"/>
    <x v="11"/>
    <x v="7"/>
    <x v="15"/>
    <x v="13"/>
    <x v="1"/>
    <x v="1"/>
    <x v="16"/>
    <s v="not recommended"/>
  </r>
  <r>
    <x v="58"/>
    <x v="43"/>
    <x v="0"/>
    <x v="56"/>
    <x v="19"/>
    <x v="1"/>
    <x v="0"/>
    <x v="58"/>
    <s v="recommended"/>
  </r>
  <r>
    <x v="18"/>
    <x v="13"/>
    <x v="1"/>
    <x v="17"/>
    <x v="11"/>
    <x v="1"/>
    <x v="0"/>
    <x v="18"/>
    <s v="recommended"/>
  </r>
  <r>
    <x v="59"/>
    <x v="13"/>
    <x v="1"/>
    <x v="57"/>
    <x v="18"/>
    <x v="1"/>
    <x v="0"/>
    <x v="59"/>
    <s v="recommended"/>
  </r>
  <r>
    <x v="60"/>
    <x v="16"/>
    <x v="1"/>
    <x v="58"/>
    <x v="14"/>
    <x v="1"/>
    <x v="0"/>
    <x v="60"/>
    <s v="recommended"/>
  </r>
  <r>
    <x v="61"/>
    <x v="44"/>
    <x v="0"/>
    <x v="59"/>
    <x v="8"/>
    <x v="1"/>
    <x v="0"/>
    <x v="61"/>
    <s v="recommended"/>
  </r>
  <r>
    <x v="62"/>
    <x v="45"/>
    <x v="2"/>
    <x v="60"/>
    <x v="13"/>
    <x v="1"/>
    <x v="1"/>
    <x v="62"/>
    <s v="recommended"/>
  </r>
  <r>
    <x v="63"/>
    <x v="46"/>
    <x v="6"/>
    <x v="61"/>
    <x v="5"/>
    <x v="1"/>
    <x v="0"/>
    <x v="63"/>
    <s v="recommended"/>
  </r>
  <r>
    <x v="64"/>
    <x v="36"/>
    <x v="2"/>
    <x v="62"/>
    <x v="26"/>
    <x v="1"/>
    <x v="1"/>
    <x v="64"/>
    <s v="recommended"/>
  </r>
  <r>
    <x v="27"/>
    <x v="20"/>
    <x v="5"/>
    <x v="26"/>
    <x v="18"/>
    <x v="1"/>
    <x v="1"/>
    <x v="27"/>
    <s v="recommended"/>
  </r>
  <r>
    <x v="28"/>
    <x v="21"/>
    <x v="6"/>
    <x v="27"/>
    <x v="19"/>
    <x v="1"/>
    <x v="1"/>
    <x v="28"/>
    <s v="recommended"/>
  </r>
  <r>
    <x v="29"/>
    <x v="22"/>
    <x v="0"/>
    <x v="28"/>
    <x v="1"/>
    <x v="1"/>
    <x v="1"/>
    <x v="29"/>
    <s v="recommended"/>
  </r>
  <r>
    <x v="65"/>
    <x v="47"/>
    <x v="5"/>
    <x v="63"/>
    <x v="12"/>
    <x v="1"/>
    <x v="1"/>
    <x v="65"/>
    <s v="recommended"/>
  </r>
  <r>
    <x v="66"/>
    <x v="48"/>
    <x v="5"/>
    <x v="64"/>
    <x v="10"/>
    <x v="1"/>
    <x v="1"/>
    <x v="66"/>
    <s v="recommended"/>
  </r>
  <r>
    <x v="67"/>
    <x v="49"/>
    <x v="1"/>
    <x v="65"/>
    <x v="27"/>
    <x v="1"/>
    <x v="0"/>
    <x v="67"/>
    <s v="recommended"/>
  </r>
  <r>
    <x v="68"/>
    <x v="13"/>
    <x v="0"/>
    <x v="66"/>
    <x v="14"/>
    <x v="1"/>
    <x v="0"/>
    <x v="68"/>
    <s v="recommended"/>
  </r>
  <r>
    <x v="69"/>
    <x v="50"/>
    <x v="0"/>
    <x v="67"/>
    <x v="13"/>
    <x v="1"/>
    <x v="1"/>
    <x v="69"/>
    <s v="recommended"/>
  </r>
  <r>
    <x v="70"/>
    <x v="2"/>
    <x v="0"/>
    <x v="68"/>
    <x v="28"/>
    <x v="1"/>
    <x v="0"/>
    <x v="70"/>
    <s v="recommended"/>
  </r>
  <r>
    <x v="71"/>
    <x v="51"/>
    <x v="2"/>
    <x v="69"/>
    <x v="2"/>
    <x v="1"/>
    <x v="1"/>
    <x v="71"/>
    <s v="recommended"/>
  </r>
  <r>
    <x v="72"/>
    <x v="31"/>
    <x v="6"/>
    <x v="70"/>
    <x v="0"/>
    <x v="1"/>
    <x v="0"/>
    <x v="72"/>
    <s v="recommended"/>
  </r>
  <r>
    <x v="73"/>
    <x v="52"/>
    <x v="0"/>
    <x v="71"/>
    <x v="5"/>
    <x v="1"/>
    <x v="1"/>
    <x v="73"/>
    <s v="recommended"/>
  </r>
  <r>
    <x v="74"/>
    <x v="53"/>
    <x v="0"/>
    <x v="72"/>
    <x v="15"/>
    <x v="1"/>
    <x v="1"/>
    <x v="74"/>
    <s v="recommended"/>
  </r>
  <r>
    <x v="75"/>
    <x v="54"/>
    <x v="3"/>
    <x v="73"/>
    <x v="2"/>
    <x v="1"/>
    <x v="1"/>
    <x v="75"/>
    <s v="recommended"/>
  </r>
  <r>
    <x v="38"/>
    <x v="30"/>
    <x v="2"/>
    <x v="37"/>
    <x v="18"/>
    <x v="1"/>
    <x v="1"/>
    <x v="38"/>
    <s v="recommended"/>
  </r>
  <r>
    <x v="76"/>
    <x v="55"/>
    <x v="8"/>
    <x v="74"/>
    <x v="8"/>
    <x v="1"/>
    <x v="0"/>
    <x v="76"/>
    <s v="recommended"/>
  </r>
  <r>
    <x v="77"/>
    <x v="56"/>
    <x v="4"/>
    <x v="75"/>
    <x v="19"/>
    <x v="1"/>
    <x v="1"/>
    <x v="77"/>
    <s v="recommended"/>
  </r>
  <r>
    <x v="78"/>
    <x v="57"/>
    <x v="2"/>
    <x v="76"/>
    <x v="19"/>
    <x v="1"/>
    <x v="1"/>
    <x v="78"/>
    <s v="recommended"/>
  </r>
  <r>
    <x v="79"/>
    <x v="58"/>
    <x v="3"/>
    <x v="77"/>
    <x v="2"/>
    <x v="1"/>
    <x v="1"/>
    <x v="79"/>
    <s v="recommended"/>
  </r>
  <r>
    <x v="80"/>
    <x v="59"/>
    <x v="0"/>
    <x v="78"/>
    <x v="18"/>
    <x v="1"/>
    <x v="1"/>
    <x v="80"/>
    <s v="recommended"/>
  </r>
  <r>
    <x v="81"/>
    <x v="60"/>
    <x v="3"/>
    <x v="79"/>
    <x v="29"/>
    <x v="1"/>
    <x v="1"/>
    <x v="81"/>
    <s v="recommended"/>
  </r>
  <r>
    <x v="82"/>
    <x v="61"/>
    <x v="3"/>
    <x v="80"/>
    <x v="4"/>
    <x v="1"/>
    <x v="1"/>
    <x v="82"/>
    <s v="recommended"/>
  </r>
  <r>
    <x v="83"/>
    <x v="62"/>
    <x v="2"/>
    <x v="81"/>
    <x v="27"/>
    <x v="1"/>
    <x v="1"/>
    <x v="83"/>
    <s v="recommended"/>
  </r>
  <r>
    <x v="84"/>
    <x v="13"/>
    <x v="1"/>
    <x v="82"/>
    <x v="3"/>
    <x v="1"/>
    <x v="0"/>
    <x v="84"/>
    <s v="recommended"/>
  </r>
  <r>
    <x v="85"/>
    <x v="63"/>
    <x v="4"/>
    <x v="83"/>
    <x v="18"/>
    <x v="1"/>
    <x v="1"/>
    <x v="85"/>
    <s v="recommended"/>
  </r>
  <r>
    <x v="86"/>
    <x v="32"/>
    <x v="5"/>
    <x v="84"/>
    <x v="0"/>
    <x v="1"/>
    <x v="1"/>
    <x v="86"/>
    <s v="recommended"/>
  </r>
  <r>
    <x v="87"/>
    <x v="64"/>
    <x v="0"/>
    <x v="85"/>
    <x v="3"/>
    <x v="1"/>
    <x v="1"/>
    <x v="87"/>
    <s v="recommended"/>
  </r>
  <r>
    <x v="88"/>
    <x v="65"/>
    <x v="3"/>
    <x v="86"/>
    <x v="19"/>
    <x v="1"/>
    <x v="1"/>
    <x v="88"/>
    <s v="recommended"/>
  </r>
  <r>
    <x v="89"/>
    <x v="66"/>
    <x v="5"/>
    <x v="87"/>
    <x v="4"/>
    <x v="1"/>
    <x v="1"/>
    <x v="89"/>
    <s v="recommended"/>
  </r>
  <r>
    <x v="90"/>
    <x v="39"/>
    <x v="2"/>
    <x v="49"/>
    <x v="0"/>
    <x v="2"/>
    <x v="0"/>
    <x v="90"/>
    <s v="recommended"/>
  </r>
  <r>
    <x v="51"/>
    <x v="40"/>
    <x v="1"/>
    <x v="50"/>
    <x v="10"/>
    <x v="2"/>
    <x v="1"/>
    <x v="51"/>
    <s v="recommended"/>
  </r>
  <r>
    <x v="52"/>
    <x v="39"/>
    <x v="5"/>
    <x v="51"/>
    <x v="0"/>
    <x v="2"/>
    <x v="0"/>
    <x v="52"/>
    <s v="recommended"/>
  </r>
  <r>
    <x v="53"/>
    <x v="39"/>
    <x v="2"/>
    <x v="52"/>
    <x v="19"/>
    <x v="2"/>
    <x v="0"/>
    <x v="53"/>
    <s v="recommended"/>
  </r>
  <r>
    <x v="91"/>
    <x v="67"/>
    <x v="9"/>
    <x v="88"/>
    <x v="0"/>
    <x v="2"/>
    <x v="1"/>
    <x v="91"/>
    <s v="recommended"/>
  </r>
  <r>
    <x v="92"/>
    <x v="39"/>
    <x v="1"/>
    <x v="89"/>
    <x v="30"/>
    <x v="2"/>
    <x v="0"/>
    <x v="92"/>
    <s v="recommended"/>
  </r>
  <r>
    <x v="93"/>
    <x v="68"/>
    <x v="2"/>
    <x v="90"/>
    <x v="8"/>
    <x v="2"/>
    <x v="1"/>
    <x v="93"/>
    <s v="recommended"/>
  </r>
  <r>
    <x v="1"/>
    <x v="1"/>
    <x v="1"/>
    <x v="1"/>
    <x v="0"/>
    <x v="2"/>
    <x v="0"/>
    <x v="94"/>
    <s v="recommended"/>
  </r>
  <r>
    <x v="1"/>
    <x v="1"/>
    <x v="1"/>
    <x v="1"/>
    <x v="11"/>
    <x v="2"/>
    <x v="0"/>
    <x v="95"/>
    <s v="recommended"/>
  </r>
  <r>
    <x v="94"/>
    <x v="69"/>
    <x v="3"/>
    <x v="91"/>
    <x v="19"/>
    <x v="2"/>
    <x v="0"/>
    <x v="96"/>
    <s v="recommended"/>
  </r>
  <r>
    <x v="54"/>
    <x v="41"/>
    <x v="2"/>
    <x v="53"/>
    <x v="8"/>
    <x v="2"/>
    <x v="0"/>
    <x v="54"/>
    <s v="recommended"/>
  </r>
  <r>
    <x v="95"/>
    <x v="70"/>
    <x v="0"/>
    <x v="92"/>
    <x v="7"/>
    <x v="2"/>
    <x v="1"/>
    <x v="97"/>
    <s v="recommended"/>
  </r>
  <r>
    <x v="96"/>
    <x v="71"/>
    <x v="1"/>
    <x v="93"/>
    <x v="2"/>
    <x v="2"/>
    <x v="0"/>
    <x v="98"/>
    <s v="recommended"/>
  </r>
  <r>
    <x v="97"/>
    <x v="72"/>
    <x v="2"/>
    <x v="94"/>
    <x v="8"/>
    <x v="2"/>
    <x v="1"/>
    <x v="99"/>
    <s v="recommended"/>
  </r>
  <r>
    <x v="7"/>
    <x v="6"/>
    <x v="0"/>
    <x v="7"/>
    <x v="6"/>
    <x v="2"/>
    <x v="1"/>
    <x v="7"/>
    <s v="recommended"/>
  </r>
  <r>
    <x v="55"/>
    <x v="42"/>
    <x v="2"/>
    <x v="54"/>
    <x v="2"/>
    <x v="2"/>
    <x v="1"/>
    <x v="100"/>
    <s v="recommended"/>
  </r>
  <r>
    <x v="98"/>
    <x v="73"/>
    <x v="5"/>
    <x v="95"/>
    <x v="14"/>
    <x v="2"/>
    <x v="0"/>
    <x v="101"/>
    <s v="recommended"/>
  </r>
  <r>
    <x v="10"/>
    <x v="9"/>
    <x v="5"/>
    <x v="10"/>
    <x v="9"/>
    <x v="2"/>
    <x v="1"/>
    <x v="10"/>
    <s v="recommended"/>
  </r>
  <r>
    <x v="99"/>
    <x v="74"/>
    <x v="0"/>
    <x v="96"/>
    <x v="4"/>
    <x v="2"/>
    <x v="1"/>
    <x v="102"/>
    <s v="recommended"/>
  </r>
  <r>
    <x v="56"/>
    <x v="3"/>
    <x v="2"/>
    <x v="55"/>
    <x v="18"/>
    <x v="2"/>
    <x v="0"/>
    <x v="56"/>
    <s v="recommended"/>
  </r>
  <r>
    <x v="100"/>
    <x v="75"/>
    <x v="5"/>
    <x v="97"/>
    <x v="2"/>
    <x v="2"/>
    <x v="1"/>
    <x v="103"/>
    <s v="recommended"/>
  </r>
  <r>
    <x v="101"/>
    <x v="46"/>
    <x v="3"/>
    <x v="98"/>
    <x v="12"/>
    <x v="2"/>
    <x v="0"/>
    <x v="104"/>
    <s v="recommended"/>
  </r>
  <r>
    <x v="102"/>
    <x v="76"/>
    <x v="6"/>
    <x v="99"/>
    <x v="14"/>
    <x v="2"/>
    <x v="1"/>
    <x v="105"/>
    <s v="recommended"/>
  </r>
  <r>
    <x v="103"/>
    <x v="77"/>
    <x v="0"/>
    <x v="100"/>
    <x v="24"/>
    <x v="2"/>
    <x v="0"/>
    <x v="106"/>
    <s v="recommended"/>
  </r>
  <r>
    <x v="104"/>
    <x v="78"/>
    <x v="0"/>
    <x v="101"/>
    <x v="4"/>
    <x v="2"/>
    <x v="0"/>
    <x v="107"/>
    <s v="recommended"/>
  </r>
  <r>
    <x v="16"/>
    <x v="11"/>
    <x v="7"/>
    <x v="15"/>
    <x v="13"/>
    <x v="2"/>
    <x v="1"/>
    <x v="16"/>
    <s v="not recommended"/>
  </r>
  <r>
    <x v="58"/>
    <x v="43"/>
    <x v="0"/>
    <x v="56"/>
    <x v="19"/>
    <x v="2"/>
    <x v="0"/>
    <x v="58"/>
    <s v="recommended"/>
  </r>
  <r>
    <x v="105"/>
    <x v="79"/>
    <x v="2"/>
    <x v="102"/>
    <x v="27"/>
    <x v="2"/>
    <x v="1"/>
    <x v="108"/>
    <s v="recommended"/>
  </r>
  <r>
    <x v="106"/>
    <x v="80"/>
    <x v="6"/>
    <x v="103"/>
    <x v="27"/>
    <x v="2"/>
    <x v="1"/>
    <x v="109"/>
    <s v="recommended"/>
  </r>
  <r>
    <x v="107"/>
    <x v="81"/>
    <x v="3"/>
    <x v="104"/>
    <x v="27"/>
    <x v="2"/>
    <x v="1"/>
    <x v="110"/>
    <s v="recommended"/>
  </r>
  <r>
    <x v="108"/>
    <x v="16"/>
    <x v="1"/>
    <x v="105"/>
    <x v="28"/>
    <x v="2"/>
    <x v="0"/>
    <x v="70"/>
    <s v="recommended"/>
  </r>
  <r>
    <x v="109"/>
    <x v="13"/>
    <x v="1"/>
    <x v="106"/>
    <x v="8"/>
    <x v="2"/>
    <x v="0"/>
    <x v="111"/>
    <s v="recommended"/>
  </r>
  <r>
    <x v="110"/>
    <x v="82"/>
    <x v="3"/>
    <x v="107"/>
    <x v="5"/>
    <x v="2"/>
    <x v="1"/>
    <x v="112"/>
    <s v="recommended"/>
  </r>
  <r>
    <x v="111"/>
    <x v="83"/>
    <x v="0"/>
    <x v="108"/>
    <x v="31"/>
    <x v="2"/>
    <x v="1"/>
    <x v="113"/>
    <s v="recommended"/>
  </r>
  <r>
    <x v="112"/>
    <x v="84"/>
    <x v="6"/>
    <x v="24"/>
    <x v="10"/>
    <x v="2"/>
    <x v="0"/>
    <x v="114"/>
    <s v="recommended"/>
  </r>
  <r>
    <x v="64"/>
    <x v="36"/>
    <x v="2"/>
    <x v="62"/>
    <x v="26"/>
    <x v="2"/>
    <x v="1"/>
    <x v="64"/>
    <s v="recommended"/>
  </r>
  <r>
    <x v="27"/>
    <x v="20"/>
    <x v="5"/>
    <x v="26"/>
    <x v="18"/>
    <x v="2"/>
    <x v="1"/>
    <x v="27"/>
    <s v="recommended"/>
  </r>
  <r>
    <x v="113"/>
    <x v="85"/>
    <x v="3"/>
    <x v="109"/>
    <x v="2"/>
    <x v="2"/>
    <x v="1"/>
    <x v="115"/>
    <s v="recommended"/>
  </r>
  <r>
    <x v="29"/>
    <x v="22"/>
    <x v="0"/>
    <x v="28"/>
    <x v="1"/>
    <x v="2"/>
    <x v="1"/>
    <x v="29"/>
    <s v="recommended"/>
  </r>
  <r>
    <x v="114"/>
    <x v="86"/>
    <x v="0"/>
    <x v="110"/>
    <x v="5"/>
    <x v="2"/>
    <x v="1"/>
    <x v="116"/>
    <s v="recommended"/>
  </r>
  <r>
    <x v="115"/>
    <x v="87"/>
    <x v="6"/>
    <x v="111"/>
    <x v="32"/>
    <x v="2"/>
    <x v="1"/>
    <x v="117"/>
    <s v="recommended"/>
  </r>
  <r>
    <x v="116"/>
    <x v="31"/>
    <x v="4"/>
    <x v="112"/>
    <x v="21"/>
    <x v="2"/>
    <x v="0"/>
    <x v="118"/>
    <s v="recommended"/>
  </r>
  <r>
    <x v="117"/>
    <x v="10"/>
    <x v="0"/>
    <x v="113"/>
    <x v="32"/>
    <x v="2"/>
    <x v="0"/>
    <x v="119"/>
    <s v="recommended"/>
  </r>
  <r>
    <x v="118"/>
    <x v="88"/>
    <x v="8"/>
    <x v="114"/>
    <x v="15"/>
    <x v="2"/>
    <x v="1"/>
    <x v="120"/>
    <s v="recommended"/>
  </r>
  <r>
    <x v="71"/>
    <x v="51"/>
    <x v="2"/>
    <x v="69"/>
    <x v="2"/>
    <x v="2"/>
    <x v="1"/>
    <x v="71"/>
    <s v="recommended"/>
  </r>
  <r>
    <x v="119"/>
    <x v="89"/>
    <x v="4"/>
    <x v="115"/>
    <x v="5"/>
    <x v="2"/>
    <x v="1"/>
    <x v="121"/>
    <s v="recommended"/>
  </r>
  <r>
    <x v="38"/>
    <x v="30"/>
    <x v="2"/>
    <x v="37"/>
    <x v="18"/>
    <x v="2"/>
    <x v="1"/>
    <x v="38"/>
    <s v="recommended"/>
  </r>
  <r>
    <x v="120"/>
    <x v="13"/>
    <x v="2"/>
    <x v="116"/>
    <x v="8"/>
    <x v="2"/>
    <x v="0"/>
    <x v="122"/>
    <s v="recommended"/>
  </r>
  <r>
    <x v="81"/>
    <x v="60"/>
    <x v="3"/>
    <x v="79"/>
    <x v="29"/>
    <x v="2"/>
    <x v="1"/>
    <x v="81"/>
    <s v="recommended"/>
  </r>
  <r>
    <x v="82"/>
    <x v="61"/>
    <x v="3"/>
    <x v="80"/>
    <x v="4"/>
    <x v="2"/>
    <x v="1"/>
    <x v="82"/>
    <s v="recommended"/>
  </r>
  <r>
    <x v="121"/>
    <x v="90"/>
    <x v="7"/>
    <x v="117"/>
    <x v="8"/>
    <x v="3"/>
    <x v="0"/>
    <x v="123"/>
    <s v="not recommended"/>
  </r>
  <r>
    <x v="122"/>
    <x v="91"/>
    <x v="2"/>
    <x v="118"/>
    <x v="5"/>
    <x v="3"/>
    <x v="0"/>
    <x v="124"/>
    <s v="recommended"/>
  </r>
  <r>
    <x v="123"/>
    <x v="92"/>
    <x v="10"/>
    <x v="119"/>
    <x v="18"/>
    <x v="3"/>
    <x v="0"/>
    <x v="125"/>
    <s v="not recommended"/>
  </r>
  <r>
    <x v="90"/>
    <x v="39"/>
    <x v="2"/>
    <x v="49"/>
    <x v="0"/>
    <x v="3"/>
    <x v="0"/>
    <x v="90"/>
    <s v="recommended"/>
  </r>
  <r>
    <x v="51"/>
    <x v="40"/>
    <x v="1"/>
    <x v="50"/>
    <x v="10"/>
    <x v="3"/>
    <x v="1"/>
    <x v="51"/>
    <s v="recommended"/>
  </r>
  <r>
    <x v="52"/>
    <x v="39"/>
    <x v="5"/>
    <x v="51"/>
    <x v="0"/>
    <x v="3"/>
    <x v="0"/>
    <x v="52"/>
    <s v="recommended"/>
  </r>
  <r>
    <x v="124"/>
    <x v="92"/>
    <x v="3"/>
    <x v="120"/>
    <x v="11"/>
    <x v="3"/>
    <x v="0"/>
    <x v="126"/>
    <s v="recommended"/>
  </r>
  <r>
    <x v="53"/>
    <x v="39"/>
    <x v="2"/>
    <x v="52"/>
    <x v="19"/>
    <x v="3"/>
    <x v="0"/>
    <x v="53"/>
    <s v="recommended"/>
  </r>
  <r>
    <x v="125"/>
    <x v="93"/>
    <x v="9"/>
    <x v="121"/>
    <x v="0"/>
    <x v="3"/>
    <x v="0"/>
    <x v="127"/>
    <s v="recommended"/>
  </r>
  <r>
    <x v="126"/>
    <x v="92"/>
    <x v="5"/>
    <x v="122"/>
    <x v="19"/>
    <x v="3"/>
    <x v="0"/>
    <x v="128"/>
    <s v="recommended"/>
  </r>
  <r>
    <x v="91"/>
    <x v="67"/>
    <x v="9"/>
    <x v="88"/>
    <x v="0"/>
    <x v="3"/>
    <x v="1"/>
    <x v="91"/>
    <s v="recommended"/>
  </r>
  <r>
    <x v="127"/>
    <x v="94"/>
    <x v="3"/>
    <x v="123"/>
    <x v="12"/>
    <x v="3"/>
    <x v="1"/>
    <x v="129"/>
    <s v="recommended"/>
  </r>
  <r>
    <x v="92"/>
    <x v="39"/>
    <x v="1"/>
    <x v="89"/>
    <x v="30"/>
    <x v="3"/>
    <x v="0"/>
    <x v="92"/>
    <s v="recommended"/>
  </r>
  <r>
    <x v="93"/>
    <x v="68"/>
    <x v="2"/>
    <x v="90"/>
    <x v="8"/>
    <x v="3"/>
    <x v="1"/>
    <x v="93"/>
    <s v="recommended"/>
  </r>
  <r>
    <x v="128"/>
    <x v="46"/>
    <x v="6"/>
    <x v="124"/>
    <x v="12"/>
    <x v="3"/>
    <x v="0"/>
    <x v="130"/>
    <s v="recommended"/>
  </r>
  <r>
    <x v="129"/>
    <x v="92"/>
    <x v="5"/>
    <x v="125"/>
    <x v="31"/>
    <x v="3"/>
    <x v="0"/>
    <x v="131"/>
    <s v="recommended"/>
  </r>
  <r>
    <x v="130"/>
    <x v="95"/>
    <x v="6"/>
    <x v="126"/>
    <x v="8"/>
    <x v="3"/>
    <x v="1"/>
    <x v="132"/>
    <s v="recommended"/>
  </r>
  <r>
    <x v="131"/>
    <x v="96"/>
    <x v="3"/>
    <x v="127"/>
    <x v="11"/>
    <x v="3"/>
    <x v="0"/>
    <x v="133"/>
    <s v="recommended"/>
  </r>
  <r>
    <x v="132"/>
    <x v="97"/>
    <x v="0"/>
    <x v="128"/>
    <x v="5"/>
    <x v="3"/>
    <x v="0"/>
    <x v="134"/>
    <s v="recommended"/>
  </r>
  <r>
    <x v="95"/>
    <x v="70"/>
    <x v="0"/>
    <x v="92"/>
    <x v="7"/>
    <x v="3"/>
    <x v="1"/>
    <x v="97"/>
    <s v="recommended"/>
  </r>
  <r>
    <x v="133"/>
    <x v="98"/>
    <x v="0"/>
    <x v="129"/>
    <x v="27"/>
    <x v="3"/>
    <x v="1"/>
    <x v="135"/>
    <s v="recommended"/>
  </r>
  <r>
    <x v="134"/>
    <x v="99"/>
    <x v="5"/>
    <x v="130"/>
    <x v="15"/>
    <x v="3"/>
    <x v="0"/>
    <x v="136"/>
    <s v="recommended"/>
  </r>
  <r>
    <x v="135"/>
    <x v="100"/>
    <x v="0"/>
    <x v="131"/>
    <x v="4"/>
    <x v="3"/>
    <x v="1"/>
    <x v="137"/>
    <s v="recommended"/>
  </r>
  <r>
    <x v="136"/>
    <x v="101"/>
    <x v="11"/>
    <x v="132"/>
    <x v="14"/>
    <x v="3"/>
    <x v="0"/>
    <x v="138"/>
    <s v="not recommended"/>
  </r>
  <r>
    <x v="97"/>
    <x v="72"/>
    <x v="2"/>
    <x v="94"/>
    <x v="8"/>
    <x v="3"/>
    <x v="1"/>
    <x v="99"/>
    <s v="recommended"/>
  </r>
  <r>
    <x v="7"/>
    <x v="6"/>
    <x v="0"/>
    <x v="7"/>
    <x v="6"/>
    <x v="3"/>
    <x v="1"/>
    <x v="7"/>
    <s v="recommended"/>
  </r>
  <r>
    <x v="55"/>
    <x v="42"/>
    <x v="2"/>
    <x v="54"/>
    <x v="2"/>
    <x v="3"/>
    <x v="1"/>
    <x v="100"/>
    <s v="recommended"/>
  </r>
  <r>
    <x v="137"/>
    <x v="72"/>
    <x v="0"/>
    <x v="133"/>
    <x v="22"/>
    <x v="3"/>
    <x v="1"/>
    <x v="139"/>
    <s v="recommended"/>
  </r>
  <r>
    <x v="10"/>
    <x v="9"/>
    <x v="5"/>
    <x v="10"/>
    <x v="9"/>
    <x v="3"/>
    <x v="1"/>
    <x v="10"/>
    <s v="recommended"/>
  </r>
  <r>
    <x v="138"/>
    <x v="102"/>
    <x v="0"/>
    <x v="134"/>
    <x v="18"/>
    <x v="3"/>
    <x v="1"/>
    <x v="140"/>
    <s v="recommended"/>
  </r>
  <r>
    <x v="99"/>
    <x v="74"/>
    <x v="0"/>
    <x v="96"/>
    <x v="4"/>
    <x v="3"/>
    <x v="1"/>
    <x v="102"/>
    <s v="recommended"/>
  </r>
  <r>
    <x v="139"/>
    <x v="103"/>
    <x v="3"/>
    <x v="135"/>
    <x v="1"/>
    <x v="3"/>
    <x v="1"/>
    <x v="141"/>
    <s v="recommended"/>
  </r>
  <r>
    <x v="140"/>
    <x v="104"/>
    <x v="9"/>
    <x v="136"/>
    <x v="11"/>
    <x v="3"/>
    <x v="0"/>
    <x v="142"/>
    <s v="recommended"/>
  </r>
  <r>
    <x v="141"/>
    <x v="16"/>
    <x v="2"/>
    <x v="137"/>
    <x v="11"/>
    <x v="3"/>
    <x v="0"/>
    <x v="143"/>
    <s v="recommended"/>
  </r>
  <r>
    <x v="100"/>
    <x v="75"/>
    <x v="5"/>
    <x v="97"/>
    <x v="2"/>
    <x v="3"/>
    <x v="1"/>
    <x v="103"/>
    <s v="recommended"/>
  </r>
  <r>
    <x v="142"/>
    <x v="13"/>
    <x v="1"/>
    <x v="138"/>
    <x v="8"/>
    <x v="3"/>
    <x v="0"/>
    <x v="144"/>
    <s v="recommended"/>
  </r>
  <r>
    <x v="103"/>
    <x v="77"/>
    <x v="0"/>
    <x v="100"/>
    <x v="24"/>
    <x v="3"/>
    <x v="0"/>
    <x v="106"/>
    <s v="recommended"/>
  </r>
  <r>
    <x v="16"/>
    <x v="11"/>
    <x v="7"/>
    <x v="15"/>
    <x v="13"/>
    <x v="3"/>
    <x v="1"/>
    <x v="16"/>
    <s v="not recommended"/>
  </r>
  <r>
    <x v="110"/>
    <x v="82"/>
    <x v="3"/>
    <x v="107"/>
    <x v="5"/>
    <x v="3"/>
    <x v="1"/>
    <x v="112"/>
    <s v="recommended"/>
  </r>
  <r>
    <x v="64"/>
    <x v="36"/>
    <x v="2"/>
    <x v="62"/>
    <x v="26"/>
    <x v="3"/>
    <x v="1"/>
    <x v="64"/>
    <s v="recommended"/>
  </r>
  <r>
    <x v="27"/>
    <x v="20"/>
    <x v="5"/>
    <x v="26"/>
    <x v="18"/>
    <x v="3"/>
    <x v="1"/>
    <x v="27"/>
    <s v="recommended"/>
  </r>
  <r>
    <x v="29"/>
    <x v="22"/>
    <x v="0"/>
    <x v="28"/>
    <x v="1"/>
    <x v="3"/>
    <x v="1"/>
    <x v="29"/>
    <s v="recommended"/>
  </r>
  <r>
    <x v="114"/>
    <x v="86"/>
    <x v="0"/>
    <x v="110"/>
    <x v="5"/>
    <x v="3"/>
    <x v="1"/>
    <x v="116"/>
    <s v="recommended"/>
  </r>
  <r>
    <x v="143"/>
    <x v="105"/>
    <x v="1"/>
    <x v="139"/>
    <x v="27"/>
    <x v="3"/>
    <x v="1"/>
    <x v="145"/>
    <s v="recommended"/>
  </r>
  <r>
    <x v="144"/>
    <x v="106"/>
    <x v="0"/>
    <x v="140"/>
    <x v="2"/>
    <x v="3"/>
    <x v="1"/>
    <x v="146"/>
    <s v="recommended"/>
  </r>
  <r>
    <x v="145"/>
    <x v="13"/>
    <x v="1"/>
    <x v="141"/>
    <x v="14"/>
    <x v="3"/>
    <x v="0"/>
    <x v="147"/>
    <s v="recommended"/>
  </r>
  <r>
    <x v="146"/>
    <x v="107"/>
    <x v="5"/>
    <x v="142"/>
    <x v="33"/>
    <x v="3"/>
    <x v="1"/>
    <x v="148"/>
    <s v="recommended"/>
  </r>
  <r>
    <x v="147"/>
    <x v="108"/>
    <x v="4"/>
    <x v="143"/>
    <x v="18"/>
    <x v="3"/>
    <x v="1"/>
    <x v="149"/>
    <s v="recommended"/>
  </r>
  <r>
    <x v="148"/>
    <x v="62"/>
    <x v="1"/>
    <x v="144"/>
    <x v="6"/>
    <x v="3"/>
    <x v="1"/>
    <x v="150"/>
    <s v="recommended"/>
  </r>
  <r>
    <x v="81"/>
    <x v="60"/>
    <x v="3"/>
    <x v="79"/>
    <x v="29"/>
    <x v="3"/>
    <x v="1"/>
    <x v="81"/>
    <s v="recommended"/>
  </r>
  <r>
    <x v="121"/>
    <x v="90"/>
    <x v="7"/>
    <x v="117"/>
    <x v="8"/>
    <x v="4"/>
    <x v="0"/>
    <x v="123"/>
    <s v="not recommended"/>
  </r>
  <r>
    <x v="122"/>
    <x v="91"/>
    <x v="2"/>
    <x v="118"/>
    <x v="5"/>
    <x v="4"/>
    <x v="0"/>
    <x v="124"/>
    <s v="recommended"/>
  </r>
  <r>
    <x v="123"/>
    <x v="92"/>
    <x v="10"/>
    <x v="119"/>
    <x v="18"/>
    <x v="4"/>
    <x v="0"/>
    <x v="125"/>
    <s v="not recommended"/>
  </r>
  <r>
    <x v="149"/>
    <x v="109"/>
    <x v="12"/>
    <x v="145"/>
    <x v="4"/>
    <x v="4"/>
    <x v="0"/>
    <x v="151"/>
    <s v="not recommended"/>
  </r>
  <r>
    <x v="150"/>
    <x v="7"/>
    <x v="8"/>
    <x v="146"/>
    <x v="18"/>
    <x v="4"/>
    <x v="0"/>
    <x v="152"/>
    <s v="recommended"/>
  </r>
  <r>
    <x v="151"/>
    <x v="110"/>
    <x v="0"/>
    <x v="147"/>
    <x v="15"/>
    <x v="4"/>
    <x v="0"/>
    <x v="153"/>
    <s v="recommended"/>
  </r>
  <r>
    <x v="152"/>
    <x v="111"/>
    <x v="1"/>
    <x v="148"/>
    <x v="28"/>
    <x v="4"/>
    <x v="0"/>
    <x v="70"/>
    <s v="recommended"/>
  </r>
  <r>
    <x v="153"/>
    <x v="112"/>
    <x v="2"/>
    <x v="149"/>
    <x v="1"/>
    <x v="4"/>
    <x v="1"/>
    <x v="154"/>
    <s v="recommended"/>
  </r>
  <r>
    <x v="154"/>
    <x v="113"/>
    <x v="0"/>
    <x v="150"/>
    <x v="1"/>
    <x v="4"/>
    <x v="0"/>
    <x v="155"/>
    <s v="recommended"/>
  </r>
  <r>
    <x v="155"/>
    <x v="46"/>
    <x v="5"/>
    <x v="151"/>
    <x v="12"/>
    <x v="4"/>
    <x v="0"/>
    <x v="156"/>
    <s v="recommended"/>
  </r>
  <r>
    <x v="125"/>
    <x v="93"/>
    <x v="9"/>
    <x v="121"/>
    <x v="0"/>
    <x v="4"/>
    <x v="0"/>
    <x v="127"/>
    <s v="recommended"/>
  </r>
  <r>
    <x v="156"/>
    <x v="114"/>
    <x v="1"/>
    <x v="152"/>
    <x v="2"/>
    <x v="4"/>
    <x v="0"/>
    <x v="157"/>
    <s v="recommended"/>
  </r>
  <r>
    <x v="91"/>
    <x v="67"/>
    <x v="9"/>
    <x v="88"/>
    <x v="0"/>
    <x v="4"/>
    <x v="1"/>
    <x v="91"/>
    <s v="recommended"/>
  </r>
  <r>
    <x v="157"/>
    <x v="115"/>
    <x v="9"/>
    <x v="153"/>
    <x v="24"/>
    <x v="4"/>
    <x v="0"/>
    <x v="158"/>
    <s v="recommended"/>
  </r>
  <r>
    <x v="158"/>
    <x v="10"/>
    <x v="2"/>
    <x v="154"/>
    <x v="5"/>
    <x v="4"/>
    <x v="0"/>
    <x v="159"/>
    <s v="recommended"/>
  </r>
  <r>
    <x v="130"/>
    <x v="95"/>
    <x v="6"/>
    <x v="126"/>
    <x v="8"/>
    <x v="4"/>
    <x v="1"/>
    <x v="132"/>
    <s v="recommended"/>
  </r>
  <r>
    <x v="159"/>
    <x v="116"/>
    <x v="6"/>
    <x v="155"/>
    <x v="5"/>
    <x v="4"/>
    <x v="0"/>
    <x v="160"/>
    <s v="recommended"/>
  </r>
  <r>
    <x v="131"/>
    <x v="96"/>
    <x v="3"/>
    <x v="127"/>
    <x v="11"/>
    <x v="4"/>
    <x v="0"/>
    <x v="133"/>
    <s v="recommended"/>
  </r>
  <r>
    <x v="160"/>
    <x v="72"/>
    <x v="5"/>
    <x v="156"/>
    <x v="14"/>
    <x v="4"/>
    <x v="1"/>
    <x v="161"/>
    <s v="recommended"/>
  </r>
  <r>
    <x v="135"/>
    <x v="100"/>
    <x v="0"/>
    <x v="131"/>
    <x v="11"/>
    <x v="4"/>
    <x v="1"/>
    <x v="162"/>
    <s v="recommended"/>
  </r>
  <r>
    <x v="7"/>
    <x v="6"/>
    <x v="0"/>
    <x v="7"/>
    <x v="6"/>
    <x v="4"/>
    <x v="1"/>
    <x v="7"/>
    <s v="recommended"/>
  </r>
  <r>
    <x v="161"/>
    <x v="117"/>
    <x v="1"/>
    <x v="157"/>
    <x v="2"/>
    <x v="4"/>
    <x v="0"/>
    <x v="163"/>
    <s v="recommended"/>
  </r>
  <r>
    <x v="10"/>
    <x v="9"/>
    <x v="5"/>
    <x v="10"/>
    <x v="9"/>
    <x v="4"/>
    <x v="1"/>
    <x v="10"/>
    <s v="recommended"/>
  </r>
  <r>
    <x v="139"/>
    <x v="103"/>
    <x v="3"/>
    <x v="135"/>
    <x v="1"/>
    <x v="4"/>
    <x v="1"/>
    <x v="141"/>
    <s v="recommended"/>
  </r>
  <r>
    <x v="162"/>
    <x v="118"/>
    <x v="9"/>
    <x v="158"/>
    <x v="14"/>
    <x v="4"/>
    <x v="0"/>
    <x v="164"/>
    <s v="recommended"/>
  </r>
  <r>
    <x v="140"/>
    <x v="104"/>
    <x v="9"/>
    <x v="136"/>
    <x v="11"/>
    <x v="4"/>
    <x v="0"/>
    <x v="142"/>
    <s v="recommended"/>
  </r>
  <r>
    <x v="163"/>
    <x v="119"/>
    <x v="2"/>
    <x v="159"/>
    <x v="15"/>
    <x v="4"/>
    <x v="1"/>
    <x v="165"/>
    <s v="recommended"/>
  </r>
  <r>
    <x v="164"/>
    <x v="120"/>
    <x v="0"/>
    <x v="160"/>
    <x v="21"/>
    <x v="4"/>
    <x v="1"/>
    <x v="166"/>
    <s v="recommended"/>
  </r>
  <r>
    <x v="165"/>
    <x v="13"/>
    <x v="1"/>
    <x v="161"/>
    <x v="18"/>
    <x v="4"/>
    <x v="0"/>
    <x v="167"/>
    <s v="recommended"/>
  </r>
  <r>
    <x v="166"/>
    <x v="16"/>
    <x v="1"/>
    <x v="162"/>
    <x v="28"/>
    <x v="4"/>
    <x v="0"/>
    <x v="70"/>
    <s v="recommended"/>
  </r>
  <r>
    <x v="167"/>
    <x v="121"/>
    <x v="5"/>
    <x v="163"/>
    <x v="34"/>
    <x v="4"/>
    <x v="1"/>
    <x v="168"/>
    <s v="recommended"/>
  </r>
  <r>
    <x v="168"/>
    <x v="110"/>
    <x v="12"/>
    <x v="164"/>
    <x v="5"/>
    <x v="4"/>
    <x v="0"/>
    <x v="169"/>
    <s v="not recommended"/>
  </r>
  <r>
    <x v="169"/>
    <x v="122"/>
    <x v="5"/>
    <x v="165"/>
    <x v="5"/>
    <x v="4"/>
    <x v="1"/>
    <x v="170"/>
    <s v="recommended"/>
  </r>
  <r>
    <x v="103"/>
    <x v="77"/>
    <x v="0"/>
    <x v="100"/>
    <x v="24"/>
    <x v="4"/>
    <x v="0"/>
    <x v="106"/>
    <s v="recommended"/>
  </r>
  <r>
    <x v="170"/>
    <x v="123"/>
    <x v="9"/>
    <x v="166"/>
    <x v="4"/>
    <x v="4"/>
    <x v="0"/>
    <x v="171"/>
    <s v="recommended"/>
  </r>
  <r>
    <x v="16"/>
    <x v="11"/>
    <x v="7"/>
    <x v="15"/>
    <x v="13"/>
    <x v="4"/>
    <x v="1"/>
    <x v="16"/>
    <s v="not recommended"/>
  </r>
  <r>
    <x v="171"/>
    <x v="124"/>
    <x v="2"/>
    <x v="167"/>
    <x v="13"/>
    <x v="4"/>
    <x v="1"/>
    <x v="172"/>
    <s v="recommended"/>
  </r>
  <r>
    <x v="172"/>
    <x v="125"/>
    <x v="0"/>
    <x v="168"/>
    <x v="10"/>
    <x v="4"/>
    <x v="1"/>
    <x v="173"/>
    <s v="recommended"/>
  </r>
  <r>
    <x v="173"/>
    <x v="10"/>
    <x v="5"/>
    <x v="169"/>
    <x v="14"/>
    <x v="4"/>
    <x v="0"/>
    <x v="174"/>
    <s v="recommended"/>
  </r>
  <r>
    <x v="174"/>
    <x v="4"/>
    <x v="3"/>
    <x v="170"/>
    <x v="5"/>
    <x v="4"/>
    <x v="1"/>
    <x v="175"/>
    <s v="recommended"/>
  </r>
  <r>
    <x v="175"/>
    <x v="126"/>
    <x v="1"/>
    <x v="171"/>
    <x v="19"/>
    <x v="4"/>
    <x v="1"/>
    <x v="176"/>
    <s v="recommended"/>
  </r>
  <r>
    <x v="176"/>
    <x v="120"/>
    <x v="5"/>
    <x v="172"/>
    <x v="21"/>
    <x v="4"/>
    <x v="1"/>
    <x v="177"/>
    <s v="recommended"/>
  </r>
  <r>
    <x v="177"/>
    <x v="127"/>
    <x v="1"/>
    <x v="173"/>
    <x v="15"/>
    <x v="4"/>
    <x v="1"/>
    <x v="178"/>
    <s v="recommended"/>
  </r>
  <r>
    <x v="64"/>
    <x v="36"/>
    <x v="2"/>
    <x v="62"/>
    <x v="26"/>
    <x v="4"/>
    <x v="1"/>
    <x v="64"/>
    <s v="recommended"/>
  </r>
  <r>
    <x v="29"/>
    <x v="22"/>
    <x v="0"/>
    <x v="28"/>
    <x v="1"/>
    <x v="4"/>
    <x v="1"/>
    <x v="29"/>
    <s v="recommended"/>
  </r>
  <r>
    <x v="178"/>
    <x v="105"/>
    <x v="1"/>
    <x v="174"/>
    <x v="13"/>
    <x v="4"/>
    <x v="1"/>
    <x v="179"/>
    <s v="recommended"/>
  </r>
  <r>
    <x v="179"/>
    <x v="128"/>
    <x v="8"/>
    <x v="175"/>
    <x v="1"/>
    <x v="4"/>
    <x v="1"/>
    <x v="180"/>
    <s v="recommended"/>
  </r>
  <r>
    <x v="180"/>
    <x v="129"/>
    <x v="1"/>
    <x v="176"/>
    <x v="8"/>
    <x v="4"/>
    <x v="1"/>
    <x v="181"/>
    <s v="recommended"/>
  </r>
  <r>
    <x v="81"/>
    <x v="60"/>
    <x v="3"/>
    <x v="79"/>
    <x v="29"/>
    <x v="4"/>
    <x v="1"/>
    <x v="81"/>
    <s v="recommended"/>
  </r>
  <r>
    <x v="181"/>
    <x v="38"/>
    <x v="0"/>
    <x v="177"/>
    <x v="13"/>
    <x v="4"/>
    <x v="1"/>
    <x v="182"/>
    <s v="recommended"/>
  </r>
  <r>
    <x v="121"/>
    <x v="90"/>
    <x v="7"/>
    <x v="117"/>
    <x v="2"/>
    <x v="5"/>
    <x v="0"/>
    <x v="183"/>
    <s v="not recommended"/>
  </r>
  <r>
    <x v="122"/>
    <x v="91"/>
    <x v="2"/>
    <x v="118"/>
    <x v="11"/>
    <x v="5"/>
    <x v="0"/>
    <x v="184"/>
    <s v="recommended"/>
  </r>
  <r>
    <x v="122"/>
    <x v="91"/>
    <x v="2"/>
    <x v="118"/>
    <x v="5"/>
    <x v="5"/>
    <x v="0"/>
    <x v="124"/>
    <s v="recommended"/>
  </r>
  <r>
    <x v="182"/>
    <x v="130"/>
    <x v="0"/>
    <x v="178"/>
    <x v="18"/>
    <x v="5"/>
    <x v="0"/>
    <x v="185"/>
    <s v="recommended"/>
  </r>
  <r>
    <x v="183"/>
    <x v="131"/>
    <x v="2"/>
    <x v="179"/>
    <x v="35"/>
    <x v="5"/>
    <x v="0"/>
    <x v="186"/>
    <s v="recommended"/>
  </r>
  <r>
    <x v="149"/>
    <x v="109"/>
    <x v="12"/>
    <x v="145"/>
    <x v="4"/>
    <x v="5"/>
    <x v="0"/>
    <x v="151"/>
    <s v="not recommended"/>
  </r>
  <r>
    <x v="51"/>
    <x v="40"/>
    <x v="1"/>
    <x v="50"/>
    <x v="5"/>
    <x v="5"/>
    <x v="1"/>
    <x v="187"/>
    <s v="recommended"/>
  </r>
  <r>
    <x v="51"/>
    <x v="40"/>
    <x v="1"/>
    <x v="50"/>
    <x v="10"/>
    <x v="5"/>
    <x v="1"/>
    <x v="51"/>
    <s v="recommended"/>
  </r>
  <r>
    <x v="151"/>
    <x v="110"/>
    <x v="0"/>
    <x v="147"/>
    <x v="15"/>
    <x v="5"/>
    <x v="0"/>
    <x v="153"/>
    <s v="recommended"/>
  </r>
  <r>
    <x v="152"/>
    <x v="111"/>
    <x v="1"/>
    <x v="148"/>
    <x v="28"/>
    <x v="5"/>
    <x v="0"/>
    <x v="70"/>
    <s v="recommended"/>
  </r>
  <r>
    <x v="184"/>
    <x v="132"/>
    <x v="2"/>
    <x v="180"/>
    <x v="19"/>
    <x v="5"/>
    <x v="1"/>
    <x v="188"/>
    <s v="recommended"/>
  </r>
  <r>
    <x v="185"/>
    <x v="133"/>
    <x v="1"/>
    <x v="181"/>
    <x v="14"/>
    <x v="5"/>
    <x v="1"/>
    <x v="189"/>
    <s v="recommended"/>
  </r>
  <r>
    <x v="154"/>
    <x v="113"/>
    <x v="0"/>
    <x v="150"/>
    <x v="1"/>
    <x v="5"/>
    <x v="0"/>
    <x v="155"/>
    <s v="recommended"/>
  </r>
  <r>
    <x v="186"/>
    <x v="134"/>
    <x v="0"/>
    <x v="182"/>
    <x v="19"/>
    <x v="5"/>
    <x v="0"/>
    <x v="190"/>
    <s v="recommended"/>
  </r>
  <r>
    <x v="125"/>
    <x v="93"/>
    <x v="9"/>
    <x v="121"/>
    <x v="0"/>
    <x v="5"/>
    <x v="0"/>
    <x v="127"/>
    <s v="recommended"/>
  </r>
  <r>
    <x v="156"/>
    <x v="114"/>
    <x v="1"/>
    <x v="152"/>
    <x v="2"/>
    <x v="5"/>
    <x v="0"/>
    <x v="157"/>
    <s v="recommended"/>
  </r>
  <r>
    <x v="187"/>
    <x v="69"/>
    <x v="2"/>
    <x v="183"/>
    <x v="30"/>
    <x v="5"/>
    <x v="0"/>
    <x v="191"/>
    <s v="recommended"/>
  </r>
  <r>
    <x v="91"/>
    <x v="67"/>
    <x v="9"/>
    <x v="88"/>
    <x v="0"/>
    <x v="5"/>
    <x v="1"/>
    <x v="91"/>
    <s v="recommended"/>
  </r>
  <r>
    <x v="157"/>
    <x v="115"/>
    <x v="9"/>
    <x v="153"/>
    <x v="24"/>
    <x v="5"/>
    <x v="0"/>
    <x v="158"/>
    <s v="recommended"/>
  </r>
  <r>
    <x v="188"/>
    <x v="135"/>
    <x v="1"/>
    <x v="184"/>
    <x v="24"/>
    <x v="5"/>
    <x v="0"/>
    <x v="192"/>
    <s v="recommended"/>
  </r>
  <r>
    <x v="189"/>
    <x v="110"/>
    <x v="5"/>
    <x v="185"/>
    <x v="1"/>
    <x v="5"/>
    <x v="0"/>
    <x v="193"/>
    <s v="recommended"/>
  </r>
  <r>
    <x v="190"/>
    <x v="136"/>
    <x v="2"/>
    <x v="186"/>
    <x v="21"/>
    <x v="5"/>
    <x v="1"/>
    <x v="194"/>
    <s v="recommended"/>
  </r>
  <r>
    <x v="131"/>
    <x v="96"/>
    <x v="3"/>
    <x v="127"/>
    <x v="11"/>
    <x v="5"/>
    <x v="0"/>
    <x v="133"/>
    <s v="recommended"/>
  </r>
  <r>
    <x v="191"/>
    <x v="137"/>
    <x v="0"/>
    <x v="187"/>
    <x v="33"/>
    <x v="5"/>
    <x v="1"/>
    <x v="195"/>
    <s v="recommended"/>
  </r>
  <r>
    <x v="192"/>
    <x v="72"/>
    <x v="0"/>
    <x v="188"/>
    <x v="1"/>
    <x v="5"/>
    <x v="1"/>
    <x v="196"/>
    <s v="recommended"/>
  </r>
  <r>
    <x v="193"/>
    <x v="138"/>
    <x v="5"/>
    <x v="189"/>
    <x v="0"/>
    <x v="5"/>
    <x v="0"/>
    <x v="197"/>
    <s v="recommended"/>
  </r>
  <r>
    <x v="194"/>
    <x v="139"/>
    <x v="2"/>
    <x v="190"/>
    <x v="13"/>
    <x v="5"/>
    <x v="1"/>
    <x v="198"/>
    <s v="recommended"/>
  </r>
  <r>
    <x v="161"/>
    <x v="117"/>
    <x v="1"/>
    <x v="157"/>
    <x v="2"/>
    <x v="5"/>
    <x v="0"/>
    <x v="163"/>
    <s v="recommended"/>
  </r>
  <r>
    <x v="10"/>
    <x v="9"/>
    <x v="5"/>
    <x v="10"/>
    <x v="9"/>
    <x v="5"/>
    <x v="1"/>
    <x v="10"/>
    <s v="recommended"/>
  </r>
  <r>
    <x v="195"/>
    <x v="91"/>
    <x v="5"/>
    <x v="191"/>
    <x v="11"/>
    <x v="5"/>
    <x v="0"/>
    <x v="199"/>
    <s v="recommended"/>
  </r>
  <r>
    <x v="196"/>
    <x v="140"/>
    <x v="1"/>
    <x v="192"/>
    <x v="0"/>
    <x v="5"/>
    <x v="0"/>
    <x v="200"/>
    <s v="recommended"/>
  </r>
  <r>
    <x v="197"/>
    <x v="141"/>
    <x v="6"/>
    <x v="193"/>
    <x v="2"/>
    <x v="5"/>
    <x v="0"/>
    <x v="201"/>
    <s v="recommended"/>
  </r>
  <r>
    <x v="164"/>
    <x v="120"/>
    <x v="0"/>
    <x v="160"/>
    <x v="21"/>
    <x v="5"/>
    <x v="1"/>
    <x v="166"/>
    <s v="recommended"/>
  </r>
  <r>
    <x v="167"/>
    <x v="121"/>
    <x v="5"/>
    <x v="163"/>
    <x v="34"/>
    <x v="5"/>
    <x v="1"/>
    <x v="168"/>
    <s v="recommended"/>
  </r>
  <r>
    <x v="198"/>
    <x v="13"/>
    <x v="1"/>
    <x v="194"/>
    <x v="19"/>
    <x v="5"/>
    <x v="0"/>
    <x v="202"/>
    <s v="recommended"/>
  </r>
  <r>
    <x v="199"/>
    <x v="16"/>
    <x v="1"/>
    <x v="195"/>
    <x v="32"/>
    <x v="5"/>
    <x v="0"/>
    <x v="203"/>
    <s v="recommended"/>
  </r>
  <r>
    <x v="200"/>
    <x v="142"/>
    <x v="0"/>
    <x v="196"/>
    <x v="8"/>
    <x v="5"/>
    <x v="1"/>
    <x v="204"/>
    <s v="recommended"/>
  </r>
  <r>
    <x v="201"/>
    <x v="143"/>
    <x v="0"/>
    <x v="197"/>
    <x v="8"/>
    <x v="5"/>
    <x v="1"/>
    <x v="205"/>
    <s v="recommended"/>
  </r>
  <r>
    <x v="16"/>
    <x v="11"/>
    <x v="7"/>
    <x v="15"/>
    <x v="13"/>
    <x v="5"/>
    <x v="1"/>
    <x v="16"/>
    <s v="not recommended"/>
  </r>
  <r>
    <x v="202"/>
    <x v="118"/>
    <x v="9"/>
    <x v="198"/>
    <x v="14"/>
    <x v="5"/>
    <x v="0"/>
    <x v="206"/>
    <s v="recommended"/>
  </r>
  <r>
    <x v="176"/>
    <x v="120"/>
    <x v="5"/>
    <x v="172"/>
    <x v="21"/>
    <x v="5"/>
    <x v="1"/>
    <x v="177"/>
    <s v="recommended"/>
  </r>
  <r>
    <x v="203"/>
    <x v="144"/>
    <x v="2"/>
    <x v="199"/>
    <x v="28"/>
    <x v="5"/>
    <x v="0"/>
    <x v="70"/>
    <s v="recommended"/>
  </r>
  <r>
    <x v="177"/>
    <x v="127"/>
    <x v="1"/>
    <x v="173"/>
    <x v="15"/>
    <x v="5"/>
    <x v="1"/>
    <x v="178"/>
    <s v="recommended"/>
  </r>
  <r>
    <x v="64"/>
    <x v="36"/>
    <x v="2"/>
    <x v="62"/>
    <x v="26"/>
    <x v="5"/>
    <x v="1"/>
    <x v="64"/>
    <s v="recommended"/>
  </r>
  <r>
    <x v="204"/>
    <x v="145"/>
    <x v="5"/>
    <x v="200"/>
    <x v="26"/>
    <x v="5"/>
    <x v="1"/>
    <x v="207"/>
    <s v="recommended"/>
  </r>
  <r>
    <x v="205"/>
    <x v="146"/>
    <x v="5"/>
    <x v="201"/>
    <x v="24"/>
    <x v="5"/>
    <x v="0"/>
    <x v="208"/>
    <s v="recommended"/>
  </r>
  <r>
    <x v="206"/>
    <x v="147"/>
    <x v="9"/>
    <x v="202"/>
    <x v="28"/>
    <x v="5"/>
    <x v="0"/>
    <x v="70"/>
    <s v="recommended"/>
  </r>
  <r>
    <x v="207"/>
    <x v="62"/>
    <x v="5"/>
    <x v="203"/>
    <x v="4"/>
    <x v="5"/>
    <x v="1"/>
    <x v="209"/>
    <s v="recommended"/>
  </r>
  <r>
    <x v="81"/>
    <x v="60"/>
    <x v="3"/>
    <x v="79"/>
    <x v="29"/>
    <x v="5"/>
    <x v="1"/>
    <x v="81"/>
    <s v="recommended"/>
  </r>
  <r>
    <x v="208"/>
    <x v="144"/>
    <x v="0"/>
    <x v="204"/>
    <x v="28"/>
    <x v="5"/>
    <x v="0"/>
    <x v="70"/>
    <s v="recommended"/>
  </r>
  <r>
    <x v="209"/>
    <x v="148"/>
    <x v="8"/>
    <x v="205"/>
    <x v="12"/>
    <x v="6"/>
    <x v="0"/>
    <x v="210"/>
    <s v="recommended"/>
  </r>
  <r>
    <x v="210"/>
    <x v="149"/>
    <x v="1"/>
    <x v="206"/>
    <x v="19"/>
    <x v="6"/>
    <x v="0"/>
    <x v="211"/>
    <s v="recommended"/>
  </r>
  <r>
    <x v="211"/>
    <x v="150"/>
    <x v="2"/>
    <x v="207"/>
    <x v="2"/>
    <x v="6"/>
    <x v="0"/>
    <x v="212"/>
    <s v="recommended"/>
  </r>
  <r>
    <x v="182"/>
    <x v="130"/>
    <x v="0"/>
    <x v="178"/>
    <x v="18"/>
    <x v="6"/>
    <x v="0"/>
    <x v="185"/>
    <s v="recommended"/>
  </r>
  <r>
    <x v="152"/>
    <x v="111"/>
    <x v="1"/>
    <x v="148"/>
    <x v="28"/>
    <x v="6"/>
    <x v="0"/>
    <x v="70"/>
    <s v="recommended"/>
  </r>
  <r>
    <x v="212"/>
    <x v="92"/>
    <x v="3"/>
    <x v="208"/>
    <x v="18"/>
    <x v="6"/>
    <x v="0"/>
    <x v="213"/>
    <s v="recommended"/>
  </r>
  <r>
    <x v="64"/>
    <x v="36"/>
    <x v="1"/>
    <x v="209"/>
    <x v="0"/>
    <x v="6"/>
    <x v="1"/>
    <x v="214"/>
    <s v="recommended"/>
  </r>
  <r>
    <x v="184"/>
    <x v="132"/>
    <x v="2"/>
    <x v="180"/>
    <x v="19"/>
    <x v="6"/>
    <x v="1"/>
    <x v="188"/>
    <s v="recommended"/>
  </r>
  <r>
    <x v="185"/>
    <x v="133"/>
    <x v="1"/>
    <x v="181"/>
    <x v="14"/>
    <x v="6"/>
    <x v="1"/>
    <x v="189"/>
    <s v="recommended"/>
  </r>
  <r>
    <x v="153"/>
    <x v="112"/>
    <x v="2"/>
    <x v="149"/>
    <x v="1"/>
    <x v="6"/>
    <x v="1"/>
    <x v="154"/>
    <s v="recommended"/>
  </r>
  <r>
    <x v="213"/>
    <x v="151"/>
    <x v="5"/>
    <x v="210"/>
    <x v="19"/>
    <x v="6"/>
    <x v="1"/>
    <x v="215"/>
    <s v="recommended"/>
  </r>
  <r>
    <x v="125"/>
    <x v="93"/>
    <x v="9"/>
    <x v="121"/>
    <x v="0"/>
    <x v="6"/>
    <x v="0"/>
    <x v="127"/>
    <s v="recommended"/>
  </r>
  <r>
    <x v="156"/>
    <x v="114"/>
    <x v="1"/>
    <x v="152"/>
    <x v="2"/>
    <x v="6"/>
    <x v="0"/>
    <x v="157"/>
    <s v="recommended"/>
  </r>
  <r>
    <x v="91"/>
    <x v="67"/>
    <x v="9"/>
    <x v="88"/>
    <x v="0"/>
    <x v="6"/>
    <x v="1"/>
    <x v="91"/>
    <s v="recommended"/>
  </r>
  <r>
    <x v="157"/>
    <x v="115"/>
    <x v="9"/>
    <x v="153"/>
    <x v="24"/>
    <x v="6"/>
    <x v="0"/>
    <x v="158"/>
    <s v="recommended"/>
  </r>
  <r>
    <x v="188"/>
    <x v="135"/>
    <x v="1"/>
    <x v="184"/>
    <x v="24"/>
    <x v="6"/>
    <x v="0"/>
    <x v="192"/>
    <s v="recommended"/>
  </r>
  <r>
    <x v="190"/>
    <x v="136"/>
    <x v="2"/>
    <x v="186"/>
    <x v="21"/>
    <x v="6"/>
    <x v="1"/>
    <x v="194"/>
    <s v="recommended"/>
  </r>
  <r>
    <x v="214"/>
    <x v="152"/>
    <x v="0"/>
    <x v="211"/>
    <x v="2"/>
    <x v="6"/>
    <x v="1"/>
    <x v="216"/>
    <s v="recommended"/>
  </r>
  <r>
    <x v="215"/>
    <x v="111"/>
    <x v="13"/>
    <x v="212"/>
    <x v="7"/>
    <x v="6"/>
    <x v="0"/>
    <x v="217"/>
    <s v="not recommended"/>
  </r>
  <r>
    <x v="216"/>
    <x v="153"/>
    <x v="1"/>
    <x v="213"/>
    <x v="21"/>
    <x v="6"/>
    <x v="0"/>
    <x v="218"/>
    <s v="recommended"/>
  </r>
  <r>
    <x v="191"/>
    <x v="137"/>
    <x v="0"/>
    <x v="187"/>
    <x v="33"/>
    <x v="6"/>
    <x v="1"/>
    <x v="195"/>
    <s v="recommended"/>
  </r>
  <r>
    <x v="217"/>
    <x v="154"/>
    <x v="1"/>
    <x v="214"/>
    <x v="15"/>
    <x v="6"/>
    <x v="1"/>
    <x v="219"/>
    <s v="recommended"/>
  </r>
  <r>
    <x v="218"/>
    <x v="155"/>
    <x v="1"/>
    <x v="215"/>
    <x v="24"/>
    <x v="6"/>
    <x v="0"/>
    <x v="220"/>
    <s v="recommended"/>
  </r>
  <r>
    <x v="219"/>
    <x v="156"/>
    <x v="2"/>
    <x v="216"/>
    <x v="5"/>
    <x v="6"/>
    <x v="1"/>
    <x v="221"/>
    <s v="recommended"/>
  </r>
  <r>
    <x v="220"/>
    <x v="157"/>
    <x v="2"/>
    <x v="217"/>
    <x v="2"/>
    <x v="6"/>
    <x v="1"/>
    <x v="222"/>
    <s v="recommended"/>
  </r>
  <r>
    <x v="161"/>
    <x v="117"/>
    <x v="1"/>
    <x v="157"/>
    <x v="2"/>
    <x v="6"/>
    <x v="0"/>
    <x v="163"/>
    <s v="recommended"/>
  </r>
  <r>
    <x v="10"/>
    <x v="9"/>
    <x v="5"/>
    <x v="10"/>
    <x v="9"/>
    <x v="6"/>
    <x v="1"/>
    <x v="10"/>
    <s v="recommended"/>
  </r>
  <r>
    <x v="196"/>
    <x v="140"/>
    <x v="1"/>
    <x v="192"/>
    <x v="0"/>
    <x v="6"/>
    <x v="0"/>
    <x v="200"/>
    <s v="recommended"/>
  </r>
  <r>
    <x v="221"/>
    <x v="158"/>
    <x v="0"/>
    <x v="218"/>
    <x v="10"/>
    <x v="6"/>
    <x v="1"/>
    <x v="223"/>
    <s v="recommended"/>
  </r>
  <r>
    <x v="164"/>
    <x v="120"/>
    <x v="0"/>
    <x v="160"/>
    <x v="21"/>
    <x v="6"/>
    <x v="1"/>
    <x v="166"/>
    <s v="recommended"/>
  </r>
  <r>
    <x v="222"/>
    <x v="16"/>
    <x v="1"/>
    <x v="219"/>
    <x v="11"/>
    <x v="6"/>
    <x v="0"/>
    <x v="224"/>
    <s v="recommended"/>
  </r>
  <r>
    <x v="223"/>
    <x v="159"/>
    <x v="2"/>
    <x v="219"/>
    <x v="10"/>
    <x v="6"/>
    <x v="1"/>
    <x v="225"/>
    <s v="recommended"/>
  </r>
  <r>
    <x v="201"/>
    <x v="143"/>
    <x v="0"/>
    <x v="197"/>
    <x v="8"/>
    <x v="6"/>
    <x v="1"/>
    <x v="205"/>
    <s v="recommended"/>
  </r>
  <r>
    <x v="224"/>
    <x v="157"/>
    <x v="2"/>
    <x v="220"/>
    <x v="2"/>
    <x v="6"/>
    <x v="1"/>
    <x v="226"/>
    <s v="recommended"/>
  </r>
  <r>
    <x v="225"/>
    <x v="146"/>
    <x v="0"/>
    <x v="221"/>
    <x v="24"/>
    <x v="6"/>
    <x v="1"/>
    <x v="227"/>
    <s v="recommended"/>
  </r>
  <r>
    <x v="226"/>
    <x v="72"/>
    <x v="0"/>
    <x v="222"/>
    <x v="24"/>
    <x v="6"/>
    <x v="1"/>
    <x v="228"/>
    <s v="recommended"/>
  </r>
  <r>
    <x v="16"/>
    <x v="11"/>
    <x v="7"/>
    <x v="15"/>
    <x v="13"/>
    <x v="6"/>
    <x v="1"/>
    <x v="16"/>
    <s v="not recommended"/>
  </r>
  <r>
    <x v="7"/>
    <x v="6"/>
    <x v="2"/>
    <x v="223"/>
    <x v="10"/>
    <x v="6"/>
    <x v="1"/>
    <x v="229"/>
    <s v="recommended"/>
  </r>
  <r>
    <x v="227"/>
    <x v="160"/>
    <x v="1"/>
    <x v="224"/>
    <x v="21"/>
    <x v="6"/>
    <x v="1"/>
    <x v="230"/>
    <s v="recommended"/>
  </r>
  <r>
    <x v="228"/>
    <x v="160"/>
    <x v="1"/>
    <x v="225"/>
    <x v="24"/>
    <x v="6"/>
    <x v="1"/>
    <x v="231"/>
    <s v="recommended"/>
  </r>
  <r>
    <x v="176"/>
    <x v="120"/>
    <x v="5"/>
    <x v="172"/>
    <x v="21"/>
    <x v="6"/>
    <x v="1"/>
    <x v="177"/>
    <s v="recommended"/>
  </r>
  <r>
    <x v="229"/>
    <x v="161"/>
    <x v="2"/>
    <x v="226"/>
    <x v="2"/>
    <x v="6"/>
    <x v="1"/>
    <x v="232"/>
    <s v="recommended"/>
  </r>
  <r>
    <x v="230"/>
    <x v="105"/>
    <x v="1"/>
    <x v="227"/>
    <x v="18"/>
    <x v="6"/>
    <x v="1"/>
    <x v="233"/>
    <s v="recommended"/>
  </r>
  <r>
    <x v="231"/>
    <x v="162"/>
    <x v="3"/>
    <x v="228"/>
    <x v="1"/>
    <x v="6"/>
    <x v="1"/>
    <x v="234"/>
    <s v="recommended"/>
  </r>
  <r>
    <x v="232"/>
    <x v="162"/>
    <x v="0"/>
    <x v="229"/>
    <x v="1"/>
    <x v="6"/>
    <x v="1"/>
    <x v="235"/>
    <s v="recommended"/>
  </r>
  <r>
    <x v="233"/>
    <x v="127"/>
    <x v="9"/>
    <x v="230"/>
    <x v="13"/>
    <x v="6"/>
    <x v="1"/>
    <x v="236"/>
    <s v="recommended"/>
  </r>
  <r>
    <x v="234"/>
    <x v="163"/>
    <x v="5"/>
    <x v="231"/>
    <x v="0"/>
    <x v="6"/>
    <x v="1"/>
    <x v="237"/>
    <s v="recommended"/>
  </r>
  <r>
    <x v="235"/>
    <x v="164"/>
    <x v="0"/>
    <x v="232"/>
    <x v="24"/>
    <x v="6"/>
    <x v="1"/>
    <x v="238"/>
    <s v="recommended"/>
  </r>
  <r>
    <x v="236"/>
    <x v="165"/>
    <x v="0"/>
    <x v="233"/>
    <x v="19"/>
    <x v="6"/>
    <x v="1"/>
    <x v="239"/>
    <s v="recommended"/>
  </r>
  <r>
    <x v="237"/>
    <x v="93"/>
    <x v="2"/>
    <x v="234"/>
    <x v="18"/>
    <x v="6"/>
    <x v="0"/>
    <x v="240"/>
    <s v="recommended"/>
  </r>
  <r>
    <x v="209"/>
    <x v="148"/>
    <x v="8"/>
    <x v="205"/>
    <x v="11"/>
    <x v="7"/>
    <x v="0"/>
    <x v="241"/>
    <s v="recommended"/>
  </r>
  <r>
    <x v="210"/>
    <x v="149"/>
    <x v="1"/>
    <x v="206"/>
    <x v="19"/>
    <x v="7"/>
    <x v="0"/>
    <x v="211"/>
    <s v="recommended"/>
  </r>
  <r>
    <x v="152"/>
    <x v="111"/>
    <x v="1"/>
    <x v="148"/>
    <x v="28"/>
    <x v="7"/>
    <x v="0"/>
    <x v="70"/>
    <s v="recommended"/>
  </r>
  <r>
    <x v="64"/>
    <x v="36"/>
    <x v="1"/>
    <x v="209"/>
    <x v="0"/>
    <x v="7"/>
    <x v="1"/>
    <x v="214"/>
    <s v="recommended"/>
  </r>
  <r>
    <x v="184"/>
    <x v="132"/>
    <x v="2"/>
    <x v="180"/>
    <x v="19"/>
    <x v="7"/>
    <x v="1"/>
    <x v="188"/>
    <s v="recommended"/>
  </r>
  <r>
    <x v="238"/>
    <x v="101"/>
    <x v="7"/>
    <x v="235"/>
    <x v="14"/>
    <x v="7"/>
    <x v="0"/>
    <x v="242"/>
    <s v="not recommended"/>
  </r>
  <r>
    <x v="239"/>
    <x v="166"/>
    <x v="0"/>
    <x v="236"/>
    <x v="0"/>
    <x v="7"/>
    <x v="0"/>
    <x v="243"/>
    <s v="recommended"/>
  </r>
  <r>
    <x v="153"/>
    <x v="112"/>
    <x v="2"/>
    <x v="149"/>
    <x v="1"/>
    <x v="7"/>
    <x v="1"/>
    <x v="154"/>
    <s v="recommended"/>
  </r>
  <r>
    <x v="213"/>
    <x v="151"/>
    <x v="5"/>
    <x v="210"/>
    <x v="19"/>
    <x v="7"/>
    <x v="1"/>
    <x v="215"/>
    <s v="recommended"/>
  </r>
  <r>
    <x v="125"/>
    <x v="93"/>
    <x v="9"/>
    <x v="121"/>
    <x v="0"/>
    <x v="7"/>
    <x v="0"/>
    <x v="127"/>
    <s v="recommended"/>
  </r>
  <r>
    <x v="156"/>
    <x v="114"/>
    <x v="1"/>
    <x v="152"/>
    <x v="2"/>
    <x v="7"/>
    <x v="0"/>
    <x v="157"/>
    <s v="recommended"/>
  </r>
  <r>
    <x v="240"/>
    <x v="101"/>
    <x v="9"/>
    <x v="237"/>
    <x v="30"/>
    <x v="7"/>
    <x v="0"/>
    <x v="244"/>
    <s v="recommended"/>
  </r>
  <r>
    <x v="91"/>
    <x v="67"/>
    <x v="9"/>
    <x v="88"/>
    <x v="0"/>
    <x v="7"/>
    <x v="1"/>
    <x v="91"/>
    <s v="recommended"/>
  </r>
  <r>
    <x v="157"/>
    <x v="115"/>
    <x v="9"/>
    <x v="153"/>
    <x v="24"/>
    <x v="7"/>
    <x v="0"/>
    <x v="158"/>
    <s v="recommended"/>
  </r>
  <r>
    <x v="241"/>
    <x v="167"/>
    <x v="2"/>
    <x v="238"/>
    <x v="0"/>
    <x v="7"/>
    <x v="1"/>
    <x v="245"/>
    <s v="recommended"/>
  </r>
  <r>
    <x v="242"/>
    <x v="168"/>
    <x v="2"/>
    <x v="239"/>
    <x v="0"/>
    <x v="7"/>
    <x v="1"/>
    <x v="246"/>
    <s v="recommended"/>
  </r>
  <r>
    <x v="190"/>
    <x v="136"/>
    <x v="2"/>
    <x v="186"/>
    <x v="21"/>
    <x v="7"/>
    <x v="1"/>
    <x v="194"/>
    <s v="recommended"/>
  </r>
  <r>
    <x v="243"/>
    <x v="169"/>
    <x v="3"/>
    <x v="240"/>
    <x v="18"/>
    <x v="7"/>
    <x v="1"/>
    <x v="247"/>
    <s v="recommended"/>
  </r>
  <r>
    <x v="244"/>
    <x v="170"/>
    <x v="2"/>
    <x v="241"/>
    <x v="0"/>
    <x v="7"/>
    <x v="1"/>
    <x v="248"/>
    <s v="recommended"/>
  </r>
  <r>
    <x v="216"/>
    <x v="153"/>
    <x v="1"/>
    <x v="213"/>
    <x v="21"/>
    <x v="7"/>
    <x v="0"/>
    <x v="218"/>
    <s v="recommended"/>
  </r>
  <r>
    <x v="245"/>
    <x v="171"/>
    <x v="1"/>
    <x v="242"/>
    <x v="18"/>
    <x v="7"/>
    <x v="1"/>
    <x v="249"/>
    <s v="recommended"/>
  </r>
  <r>
    <x v="246"/>
    <x v="172"/>
    <x v="1"/>
    <x v="243"/>
    <x v="36"/>
    <x v="7"/>
    <x v="0"/>
    <x v="250"/>
    <s v="recommended"/>
  </r>
  <r>
    <x v="191"/>
    <x v="137"/>
    <x v="0"/>
    <x v="187"/>
    <x v="33"/>
    <x v="7"/>
    <x v="1"/>
    <x v="195"/>
    <s v="recommended"/>
  </r>
  <r>
    <x v="218"/>
    <x v="155"/>
    <x v="1"/>
    <x v="215"/>
    <x v="24"/>
    <x v="7"/>
    <x v="0"/>
    <x v="220"/>
    <s v="recommended"/>
  </r>
  <r>
    <x v="247"/>
    <x v="173"/>
    <x v="0"/>
    <x v="244"/>
    <x v="0"/>
    <x v="7"/>
    <x v="0"/>
    <x v="251"/>
    <s v="recommended"/>
  </r>
  <r>
    <x v="248"/>
    <x v="174"/>
    <x v="0"/>
    <x v="245"/>
    <x v="21"/>
    <x v="7"/>
    <x v="1"/>
    <x v="252"/>
    <s v="recommended"/>
  </r>
  <r>
    <x v="219"/>
    <x v="156"/>
    <x v="2"/>
    <x v="216"/>
    <x v="5"/>
    <x v="7"/>
    <x v="1"/>
    <x v="221"/>
    <s v="recommended"/>
  </r>
  <r>
    <x v="249"/>
    <x v="101"/>
    <x v="9"/>
    <x v="246"/>
    <x v="32"/>
    <x v="7"/>
    <x v="0"/>
    <x v="253"/>
    <s v="recommended"/>
  </r>
  <r>
    <x v="250"/>
    <x v="175"/>
    <x v="1"/>
    <x v="247"/>
    <x v="5"/>
    <x v="7"/>
    <x v="1"/>
    <x v="254"/>
    <s v="recommended"/>
  </r>
  <r>
    <x v="251"/>
    <x v="72"/>
    <x v="1"/>
    <x v="248"/>
    <x v="1"/>
    <x v="7"/>
    <x v="1"/>
    <x v="255"/>
    <s v="recommended"/>
  </r>
  <r>
    <x v="252"/>
    <x v="176"/>
    <x v="9"/>
    <x v="249"/>
    <x v="8"/>
    <x v="7"/>
    <x v="0"/>
    <x v="256"/>
    <s v="recommended"/>
  </r>
  <r>
    <x v="10"/>
    <x v="9"/>
    <x v="5"/>
    <x v="10"/>
    <x v="9"/>
    <x v="7"/>
    <x v="1"/>
    <x v="10"/>
    <s v="recommended"/>
  </r>
  <r>
    <x v="253"/>
    <x v="177"/>
    <x v="9"/>
    <x v="250"/>
    <x v="24"/>
    <x v="7"/>
    <x v="1"/>
    <x v="257"/>
    <s v="recommended"/>
  </r>
  <r>
    <x v="221"/>
    <x v="158"/>
    <x v="0"/>
    <x v="218"/>
    <x v="10"/>
    <x v="7"/>
    <x v="1"/>
    <x v="223"/>
    <s v="recommended"/>
  </r>
  <r>
    <x v="164"/>
    <x v="120"/>
    <x v="0"/>
    <x v="160"/>
    <x v="21"/>
    <x v="7"/>
    <x v="1"/>
    <x v="166"/>
    <s v="recommended"/>
  </r>
  <r>
    <x v="254"/>
    <x v="178"/>
    <x v="9"/>
    <x v="251"/>
    <x v="37"/>
    <x v="7"/>
    <x v="1"/>
    <x v="258"/>
    <s v="recommended"/>
  </r>
  <r>
    <x v="201"/>
    <x v="143"/>
    <x v="0"/>
    <x v="197"/>
    <x v="8"/>
    <x v="7"/>
    <x v="1"/>
    <x v="205"/>
    <s v="recommended"/>
  </r>
  <r>
    <x v="255"/>
    <x v="179"/>
    <x v="1"/>
    <x v="252"/>
    <x v="24"/>
    <x v="7"/>
    <x v="0"/>
    <x v="259"/>
    <s v="recommended"/>
  </r>
  <r>
    <x v="256"/>
    <x v="180"/>
    <x v="2"/>
    <x v="253"/>
    <x v="2"/>
    <x v="7"/>
    <x v="1"/>
    <x v="260"/>
    <s v="recommended"/>
  </r>
  <r>
    <x v="257"/>
    <x v="16"/>
    <x v="1"/>
    <x v="254"/>
    <x v="4"/>
    <x v="7"/>
    <x v="0"/>
    <x v="261"/>
    <s v="recommended"/>
  </r>
  <r>
    <x v="16"/>
    <x v="11"/>
    <x v="7"/>
    <x v="15"/>
    <x v="13"/>
    <x v="7"/>
    <x v="1"/>
    <x v="16"/>
    <s v="not recommended"/>
  </r>
  <r>
    <x v="258"/>
    <x v="181"/>
    <x v="2"/>
    <x v="255"/>
    <x v="10"/>
    <x v="7"/>
    <x v="1"/>
    <x v="262"/>
    <s v="recommended"/>
  </r>
  <r>
    <x v="7"/>
    <x v="6"/>
    <x v="2"/>
    <x v="223"/>
    <x v="10"/>
    <x v="7"/>
    <x v="1"/>
    <x v="229"/>
    <s v="recommended"/>
  </r>
  <r>
    <x v="259"/>
    <x v="182"/>
    <x v="2"/>
    <x v="256"/>
    <x v="2"/>
    <x v="7"/>
    <x v="1"/>
    <x v="263"/>
    <s v="recommended"/>
  </r>
  <r>
    <x v="260"/>
    <x v="101"/>
    <x v="2"/>
    <x v="257"/>
    <x v="15"/>
    <x v="7"/>
    <x v="0"/>
    <x v="264"/>
    <s v="recommended"/>
  </r>
  <r>
    <x v="261"/>
    <x v="183"/>
    <x v="2"/>
    <x v="258"/>
    <x v="12"/>
    <x v="7"/>
    <x v="1"/>
    <x v="265"/>
    <s v="recommended"/>
  </r>
  <r>
    <x v="262"/>
    <x v="161"/>
    <x v="2"/>
    <x v="25"/>
    <x v="2"/>
    <x v="7"/>
    <x v="0"/>
    <x v="26"/>
    <s v="recommended"/>
  </r>
  <r>
    <x v="263"/>
    <x v="184"/>
    <x v="1"/>
    <x v="259"/>
    <x v="28"/>
    <x v="7"/>
    <x v="1"/>
    <x v="70"/>
    <s v="recommended"/>
  </r>
  <r>
    <x v="264"/>
    <x v="185"/>
    <x v="5"/>
    <x v="260"/>
    <x v="21"/>
    <x v="7"/>
    <x v="1"/>
    <x v="266"/>
    <s v="recommended"/>
  </r>
  <r>
    <x v="265"/>
    <x v="60"/>
    <x v="6"/>
    <x v="261"/>
    <x v="38"/>
    <x v="7"/>
    <x v="1"/>
    <x v="267"/>
    <s v="recommended"/>
  </r>
  <r>
    <x v="266"/>
    <x v="186"/>
    <x v="6"/>
    <x v="262"/>
    <x v="11"/>
    <x v="8"/>
    <x v="0"/>
    <x v="268"/>
    <s v="recommended"/>
  </r>
  <r>
    <x v="267"/>
    <x v="187"/>
    <x v="0"/>
    <x v="263"/>
    <x v="15"/>
    <x v="8"/>
    <x v="1"/>
    <x v="269"/>
    <s v="recommended"/>
  </r>
  <r>
    <x v="64"/>
    <x v="36"/>
    <x v="1"/>
    <x v="209"/>
    <x v="0"/>
    <x v="8"/>
    <x v="1"/>
    <x v="214"/>
    <s v="recommended"/>
  </r>
  <r>
    <x v="184"/>
    <x v="132"/>
    <x v="2"/>
    <x v="180"/>
    <x v="19"/>
    <x v="8"/>
    <x v="1"/>
    <x v="188"/>
    <s v="recommended"/>
  </r>
  <r>
    <x v="239"/>
    <x v="166"/>
    <x v="0"/>
    <x v="236"/>
    <x v="0"/>
    <x v="8"/>
    <x v="0"/>
    <x v="243"/>
    <s v="recommended"/>
  </r>
  <r>
    <x v="153"/>
    <x v="112"/>
    <x v="2"/>
    <x v="149"/>
    <x v="1"/>
    <x v="8"/>
    <x v="1"/>
    <x v="154"/>
    <s v="recommended"/>
  </r>
  <r>
    <x v="213"/>
    <x v="151"/>
    <x v="5"/>
    <x v="210"/>
    <x v="19"/>
    <x v="8"/>
    <x v="1"/>
    <x v="215"/>
    <s v="recommended"/>
  </r>
  <r>
    <x v="268"/>
    <x v="188"/>
    <x v="0"/>
    <x v="264"/>
    <x v="14"/>
    <x v="8"/>
    <x v="0"/>
    <x v="270"/>
    <s v="recommended"/>
  </r>
  <r>
    <x v="125"/>
    <x v="93"/>
    <x v="9"/>
    <x v="121"/>
    <x v="0"/>
    <x v="8"/>
    <x v="0"/>
    <x v="127"/>
    <s v="recommended"/>
  </r>
  <r>
    <x v="156"/>
    <x v="114"/>
    <x v="1"/>
    <x v="152"/>
    <x v="2"/>
    <x v="8"/>
    <x v="0"/>
    <x v="157"/>
    <s v="recommended"/>
  </r>
  <r>
    <x v="269"/>
    <x v="189"/>
    <x v="2"/>
    <x v="265"/>
    <x v="1"/>
    <x v="8"/>
    <x v="0"/>
    <x v="271"/>
    <s v="recommended"/>
  </r>
  <r>
    <x v="0"/>
    <x v="0"/>
    <x v="0"/>
    <x v="0"/>
    <x v="0"/>
    <x v="8"/>
    <x v="0"/>
    <x v="0"/>
    <s v="recommended"/>
  </r>
  <r>
    <x v="270"/>
    <x v="190"/>
    <x v="2"/>
    <x v="266"/>
    <x v="15"/>
    <x v="8"/>
    <x v="0"/>
    <x v="272"/>
    <s v="recommended"/>
  </r>
  <r>
    <x v="157"/>
    <x v="115"/>
    <x v="9"/>
    <x v="153"/>
    <x v="24"/>
    <x v="8"/>
    <x v="0"/>
    <x v="158"/>
    <s v="recommended"/>
  </r>
  <r>
    <x v="271"/>
    <x v="7"/>
    <x v="6"/>
    <x v="267"/>
    <x v="5"/>
    <x v="8"/>
    <x v="0"/>
    <x v="273"/>
    <s v="recommended"/>
  </r>
  <r>
    <x v="241"/>
    <x v="167"/>
    <x v="2"/>
    <x v="238"/>
    <x v="0"/>
    <x v="8"/>
    <x v="1"/>
    <x v="245"/>
    <s v="recommended"/>
  </r>
  <r>
    <x v="190"/>
    <x v="136"/>
    <x v="2"/>
    <x v="186"/>
    <x v="21"/>
    <x v="8"/>
    <x v="1"/>
    <x v="194"/>
    <s v="recommended"/>
  </r>
  <r>
    <x v="272"/>
    <x v="191"/>
    <x v="1"/>
    <x v="268"/>
    <x v="20"/>
    <x v="8"/>
    <x v="0"/>
    <x v="274"/>
    <s v="recommended"/>
  </r>
  <r>
    <x v="273"/>
    <x v="192"/>
    <x v="1"/>
    <x v="269"/>
    <x v="21"/>
    <x v="8"/>
    <x v="0"/>
    <x v="275"/>
    <s v="recommended"/>
  </r>
  <r>
    <x v="243"/>
    <x v="169"/>
    <x v="3"/>
    <x v="240"/>
    <x v="18"/>
    <x v="8"/>
    <x v="1"/>
    <x v="247"/>
    <s v="recommended"/>
  </r>
  <r>
    <x v="274"/>
    <x v="193"/>
    <x v="9"/>
    <x v="270"/>
    <x v="24"/>
    <x v="8"/>
    <x v="0"/>
    <x v="276"/>
    <s v="recommended"/>
  </r>
  <r>
    <x v="244"/>
    <x v="170"/>
    <x v="2"/>
    <x v="241"/>
    <x v="0"/>
    <x v="8"/>
    <x v="1"/>
    <x v="248"/>
    <s v="recommended"/>
  </r>
  <r>
    <x v="216"/>
    <x v="153"/>
    <x v="1"/>
    <x v="213"/>
    <x v="21"/>
    <x v="8"/>
    <x v="0"/>
    <x v="218"/>
    <s v="recommended"/>
  </r>
  <r>
    <x v="191"/>
    <x v="137"/>
    <x v="0"/>
    <x v="187"/>
    <x v="33"/>
    <x v="8"/>
    <x v="1"/>
    <x v="195"/>
    <s v="recommended"/>
  </r>
  <r>
    <x v="218"/>
    <x v="155"/>
    <x v="1"/>
    <x v="215"/>
    <x v="24"/>
    <x v="8"/>
    <x v="0"/>
    <x v="220"/>
    <s v="recommended"/>
  </r>
  <r>
    <x v="275"/>
    <x v="194"/>
    <x v="2"/>
    <x v="271"/>
    <x v="19"/>
    <x v="8"/>
    <x v="1"/>
    <x v="277"/>
    <s v="recommended"/>
  </r>
  <r>
    <x v="276"/>
    <x v="195"/>
    <x v="1"/>
    <x v="272"/>
    <x v="24"/>
    <x v="8"/>
    <x v="0"/>
    <x v="278"/>
    <s v="recommended"/>
  </r>
  <r>
    <x v="277"/>
    <x v="196"/>
    <x v="2"/>
    <x v="273"/>
    <x v="2"/>
    <x v="8"/>
    <x v="1"/>
    <x v="279"/>
    <s v="recommended"/>
  </r>
  <r>
    <x v="252"/>
    <x v="176"/>
    <x v="9"/>
    <x v="249"/>
    <x v="8"/>
    <x v="8"/>
    <x v="0"/>
    <x v="256"/>
    <s v="recommended"/>
  </r>
  <r>
    <x v="278"/>
    <x v="197"/>
    <x v="1"/>
    <x v="274"/>
    <x v="24"/>
    <x v="8"/>
    <x v="0"/>
    <x v="280"/>
    <s v="recommended"/>
  </r>
  <r>
    <x v="10"/>
    <x v="9"/>
    <x v="5"/>
    <x v="10"/>
    <x v="9"/>
    <x v="8"/>
    <x v="1"/>
    <x v="10"/>
    <s v="recommended"/>
  </r>
  <r>
    <x v="279"/>
    <x v="198"/>
    <x v="0"/>
    <x v="275"/>
    <x v="13"/>
    <x v="8"/>
    <x v="1"/>
    <x v="281"/>
    <s v="recommended"/>
  </r>
  <r>
    <x v="280"/>
    <x v="199"/>
    <x v="5"/>
    <x v="276"/>
    <x v="2"/>
    <x v="8"/>
    <x v="0"/>
    <x v="282"/>
    <s v="recommended"/>
  </r>
  <r>
    <x v="221"/>
    <x v="158"/>
    <x v="0"/>
    <x v="218"/>
    <x v="10"/>
    <x v="8"/>
    <x v="1"/>
    <x v="223"/>
    <s v="recommended"/>
  </r>
  <r>
    <x v="281"/>
    <x v="200"/>
    <x v="6"/>
    <x v="277"/>
    <x v="11"/>
    <x v="8"/>
    <x v="1"/>
    <x v="283"/>
    <s v="recommended"/>
  </r>
  <r>
    <x v="164"/>
    <x v="120"/>
    <x v="0"/>
    <x v="160"/>
    <x v="21"/>
    <x v="8"/>
    <x v="1"/>
    <x v="166"/>
    <s v="recommended"/>
  </r>
  <r>
    <x v="282"/>
    <x v="16"/>
    <x v="1"/>
    <x v="278"/>
    <x v="28"/>
    <x v="8"/>
    <x v="0"/>
    <x v="70"/>
    <s v="recommended"/>
  </r>
  <r>
    <x v="283"/>
    <x v="201"/>
    <x v="0"/>
    <x v="279"/>
    <x v="12"/>
    <x v="8"/>
    <x v="1"/>
    <x v="284"/>
    <s v="recommended"/>
  </r>
  <r>
    <x v="284"/>
    <x v="167"/>
    <x v="2"/>
    <x v="280"/>
    <x v="2"/>
    <x v="8"/>
    <x v="1"/>
    <x v="285"/>
    <s v="recommended"/>
  </r>
  <r>
    <x v="255"/>
    <x v="179"/>
    <x v="1"/>
    <x v="252"/>
    <x v="24"/>
    <x v="8"/>
    <x v="0"/>
    <x v="259"/>
    <s v="recommended"/>
  </r>
  <r>
    <x v="16"/>
    <x v="11"/>
    <x v="7"/>
    <x v="15"/>
    <x v="13"/>
    <x v="8"/>
    <x v="1"/>
    <x v="16"/>
    <s v="not recommended"/>
  </r>
  <r>
    <x v="285"/>
    <x v="202"/>
    <x v="9"/>
    <x v="281"/>
    <x v="0"/>
    <x v="8"/>
    <x v="0"/>
    <x v="286"/>
    <s v="recommended"/>
  </r>
  <r>
    <x v="286"/>
    <x v="203"/>
    <x v="1"/>
    <x v="282"/>
    <x v="21"/>
    <x v="8"/>
    <x v="0"/>
    <x v="287"/>
    <s v="recommended"/>
  </r>
  <r>
    <x v="7"/>
    <x v="6"/>
    <x v="2"/>
    <x v="223"/>
    <x v="10"/>
    <x v="8"/>
    <x v="1"/>
    <x v="229"/>
    <s v="recommended"/>
  </r>
  <r>
    <x v="287"/>
    <x v="80"/>
    <x v="0"/>
    <x v="283"/>
    <x v="27"/>
    <x v="8"/>
    <x v="1"/>
    <x v="288"/>
    <s v="recommended"/>
  </r>
  <r>
    <x v="288"/>
    <x v="204"/>
    <x v="9"/>
    <x v="284"/>
    <x v="32"/>
    <x v="8"/>
    <x v="1"/>
    <x v="289"/>
    <s v="recommended"/>
  </r>
  <r>
    <x v="289"/>
    <x v="101"/>
    <x v="9"/>
    <x v="285"/>
    <x v="30"/>
    <x v="8"/>
    <x v="0"/>
    <x v="290"/>
    <s v="recommended"/>
  </r>
  <r>
    <x v="290"/>
    <x v="205"/>
    <x v="3"/>
    <x v="286"/>
    <x v="1"/>
    <x v="8"/>
    <x v="1"/>
    <x v="291"/>
    <s v="recommended"/>
  </r>
  <r>
    <x v="291"/>
    <x v="74"/>
    <x v="5"/>
    <x v="287"/>
    <x v="27"/>
    <x v="8"/>
    <x v="1"/>
    <x v="292"/>
    <s v="recommended"/>
  </r>
  <r>
    <x v="292"/>
    <x v="122"/>
    <x v="5"/>
    <x v="288"/>
    <x v="2"/>
    <x v="8"/>
    <x v="1"/>
    <x v="293"/>
    <s v="recommended"/>
  </r>
  <r>
    <x v="293"/>
    <x v="206"/>
    <x v="1"/>
    <x v="289"/>
    <x v="19"/>
    <x v="9"/>
    <x v="1"/>
    <x v="294"/>
    <s v="recommended"/>
  </r>
  <r>
    <x v="294"/>
    <x v="207"/>
    <x v="1"/>
    <x v="290"/>
    <x v="21"/>
    <x v="9"/>
    <x v="0"/>
    <x v="295"/>
    <s v="recommended"/>
  </r>
  <r>
    <x v="295"/>
    <x v="208"/>
    <x v="2"/>
    <x v="291"/>
    <x v="15"/>
    <x v="9"/>
    <x v="1"/>
    <x v="296"/>
    <s v="recommended"/>
  </r>
  <r>
    <x v="267"/>
    <x v="187"/>
    <x v="0"/>
    <x v="263"/>
    <x v="15"/>
    <x v="9"/>
    <x v="1"/>
    <x v="269"/>
    <s v="recommended"/>
  </r>
  <r>
    <x v="296"/>
    <x v="209"/>
    <x v="5"/>
    <x v="292"/>
    <x v="14"/>
    <x v="9"/>
    <x v="0"/>
    <x v="297"/>
    <s v="recommended"/>
  </r>
  <r>
    <x v="64"/>
    <x v="36"/>
    <x v="1"/>
    <x v="209"/>
    <x v="0"/>
    <x v="9"/>
    <x v="1"/>
    <x v="214"/>
    <s v="recommended"/>
  </r>
  <r>
    <x v="184"/>
    <x v="132"/>
    <x v="2"/>
    <x v="180"/>
    <x v="19"/>
    <x v="9"/>
    <x v="1"/>
    <x v="188"/>
    <s v="recommended"/>
  </r>
  <r>
    <x v="153"/>
    <x v="112"/>
    <x v="2"/>
    <x v="149"/>
    <x v="1"/>
    <x v="9"/>
    <x v="1"/>
    <x v="154"/>
    <s v="recommended"/>
  </r>
  <r>
    <x v="297"/>
    <x v="210"/>
    <x v="1"/>
    <x v="293"/>
    <x v="1"/>
    <x v="9"/>
    <x v="1"/>
    <x v="298"/>
    <s v="recommended"/>
  </r>
  <r>
    <x v="268"/>
    <x v="188"/>
    <x v="0"/>
    <x v="264"/>
    <x v="14"/>
    <x v="9"/>
    <x v="0"/>
    <x v="270"/>
    <s v="recommended"/>
  </r>
  <r>
    <x v="298"/>
    <x v="211"/>
    <x v="0"/>
    <x v="294"/>
    <x v="14"/>
    <x v="9"/>
    <x v="1"/>
    <x v="299"/>
    <s v="recommended"/>
  </r>
  <r>
    <x v="125"/>
    <x v="93"/>
    <x v="9"/>
    <x v="121"/>
    <x v="0"/>
    <x v="9"/>
    <x v="0"/>
    <x v="127"/>
    <s v="recommended"/>
  </r>
  <r>
    <x v="157"/>
    <x v="115"/>
    <x v="9"/>
    <x v="153"/>
    <x v="24"/>
    <x v="9"/>
    <x v="0"/>
    <x v="158"/>
    <s v="recommended"/>
  </r>
  <r>
    <x v="299"/>
    <x v="212"/>
    <x v="2"/>
    <x v="295"/>
    <x v="15"/>
    <x v="9"/>
    <x v="1"/>
    <x v="300"/>
    <s v="recommended"/>
  </r>
  <r>
    <x v="241"/>
    <x v="167"/>
    <x v="2"/>
    <x v="238"/>
    <x v="0"/>
    <x v="9"/>
    <x v="1"/>
    <x v="245"/>
    <s v="recommended"/>
  </r>
  <r>
    <x v="190"/>
    <x v="136"/>
    <x v="2"/>
    <x v="186"/>
    <x v="21"/>
    <x v="9"/>
    <x v="1"/>
    <x v="194"/>
    <s v="recommended"/>
  </r>
  <r>
    <x v="272"/>
    <x v="191"/>
    <x v="1"/>
    <x v="268"/>
    <x v="20"/>
    <x v="9"/>
    <x v="0"/>
    <x v="274"/>
    <s v="recommended"/>
  </r>
  <r>
    <x v="244"/>
    <x v="170"/>
    <x v="2"/>
    <x v="241"/>
    <x v="0"/>
    <x v="9"/>
    <x v="1"/>
    <x v="248"/>
    <s v="recommended"/>
  </r>
  <r>
    <x v="216"/>
    <x v="153"/>
    <x v="1"/>
    <x v="213"/>
    <x v="21"/>
    <x v="9"/>
    <x v="0"/>
    <x v="218"/>
    <s v="recommended"/>
  </r>
  <r>
    <x v="300"/>
    <x v="213"/>
    <x v="4"/>
    <x v="296"/>
    <x v="1"/>
    <x v="9"/>
    <x v="1"/>
    <x v="301"/>
    <s v="recommended"/>
  </r>
  <r>
    <x v="301"/>
    <x v="214"/>
    <x v="6"/>
    <x v="297"/>
    <x v="1"/>
    <x v="9"/>
    <x v="1"/>
    <x v="302"/>
    <s v="recommended"/>
  </r>
  <r>
    <x v="302"/>
    <x v="215"/>
    <x v="9"/>
    <x v="298"/>
    <x v="5"/>
    <x v="9"/>
    <x v="0"/>
    <x v="303"/>
    <s v="recommended"/>
  </r>
  <r>
    <x v="218"/>
    <x v="155"/>
    <x v="1"/>
    <x v="215"/>
    <x v="24"/>
    <x v="9"/>
    <x v="0"/>
    <x v="220"/>
    <s v="recommended"/>
  </r>
  <r>
    <x v="303"/>
    <x v="216"/>
    <x v="2"/>
    <x v="299"/>
    <x v="24"/>
    <x v="9"/>
    <x v="1"/>
    <x v="304"/>
    <s v="recommended"/>
  </r>
  <r>
    <x v="247"/>
    <x v="173"/>
    <x v="0"/>
    <x v="244"/>
    <x v="0"/>
    <x v="9"/>
    <x v="0"/>
    <x v="251"/>
    <s v="recommended"/>
  </r>
  <r>
    <x v="304"/>
    <x v="33"/>
    <x v="6"/>
    <x v="300"/>
    <x v="12"/>
    <x v="9"/>
    <x v="0"/>
    <x v="305"/>
    <s v="recommended"/>
  </r>
  <r>
    <x v="305"/>
    <x v="217"/>
    <x v="1"/>
    <x v="301"/>
    <x v="19"/>
    <x v="9"/>
    <x v="0"/>
    <x v="306"/>
    <s v="recommended"/>
  </r>
  <r>
    <x v="306"/>
    <x v="218"/>
    <x v="1"/>
    <x v="302"/>
    <x v="10"/>
    <x v="9"/>
    <x v="1"/>
    <x v="307"/>
    <s v="recommended"/>
  </r>
  <r>
    <x v="276"/>
    <x v="195"/>
    <x v="1"/>
    <x v="272"/>
    <x v="24"/>
    <x v="9"/>
    <x v="0"/>
    <x v="278"/>
    <s v="recommended"/>
  </r>
  <r>
    <x v="252"/>
    <x v="176"/>
    <x v="9"/>
    <x v="249"/>
    <x v="8"/>
    <x v="9"/>
    <x v="0"/>
    <x v="256"/>
    <s v="recommended"/>
  </r>
  <r>
    <x v="278"/>
    <x v="197"/>
    <x v="1"/>
    <x v="274"/>
    <x v="24"/>
    <x v="9"/>
    <x v="0"/>
    <x v="280"/>
    <s v="recommended"/>
  </r>
  <r>
    <x v="10"/>
    <x v="9"/>
    <x v="5"/>
    <x v="10"/>
    <x v="9"/>
    <x v="9"/>
    <x v="1"/>
    <x v="10"/>
    <s v="recommended"/>
  </r>
  <r>
    <x v="307"/>
    <x v="219"/>
    <x v="1"/>
    <x v="303"/>
    <x v="4"/>
    <x v="9"/>
    <x v="1"/>
    <x v="308"/>
    <s v="recommended"/>
  </r>
  <r>
    <x v="308"/>
    <x v="220"/>
    <x v="3"/>
    <x v="304"/>
    <x v="1"/>
    <x v="9"/>
    <x v="1"/>
    <x v="309"/>
    <s v="recommended"/>
  </r>
  <r>
    <x v="309"/>
    <x v="221"/>
    <x v="3"/>
    <x v="305"/>
    <x v="5"/>
    <x v="9"/>
    <x v="1"/>
    <x v="310"/>
    <s v="recommended"/>
  </r>
  <r>
    <x v="281"/>
    <x v="200"/>
    <x v="6"/>
    <x v="277"/>
    <x v="11"/>
    <x v="9"/>
    <x v="1"/>
    <x v="283"/>
    <s v="recommended"/>
  </r>
  <r>
    <x v="310"/>
    <x v="202"/>
    <x v="9"/>
    <x v="306"/>
    <x v="21"/>
    <x v="9"/>
    <x v="0"/>
    <x v="311"/>
    <s v="recommended"/>
  </r>
  <r>
    <x v="311"/>
    <x v="222"/>
    <x v="3"/>
    <x v="307"/>
    <x v="13"/>
    <x v="9"/>
    <x v="1"/>
    <x v="312"/>
    <s v="recommended"/>
  </r>
  <r>
    <x v="312"/>
    <x v="223"/>
    <x v="0"/>
    <x v="308"/>
    <x v="14"/>
    <x v="9"/>
    <x v="1"/>
    <x v="313"/>
    <s v="recommended"/>
  </r>
  <r>
    <x v="313"/>
    <x v="224"/>
    <x v="6"/>
    <x v="309"/>
    <x v="0"/>
    <x v="9"/>
    <x v="0"/>
    <x v="314"/>
    <s v="recommended"/>
  </r>
  <r>
    <x v="314"/>
    <x v="225"/>
    <x v="3"/>
    <x v="310"/>
    <x v="3"/>
    <x v="9"/>
    <x v="1"/>
    <x v="315"/>
    <s v="recommended"/>
  </r>
  <r>
    <x v="315"/>
    <x v="226"/>
    <x v="2"/>
    <x v="311"/>
    <x v="39"/>
    <x v="9"/>
    <x v="1"/>
    <x v="316"/>
    <s v="recommended"/>
  </r>
  <r>
    <x v="316"/>
    <x v="16"/>
    <x v="1"/>
    <x v="312"/>
    <x v="0"/>
    <x v="9"/>
    <x v="0"/>
    <x v="317"/>
    <s v="recommended"/>
  </r>
  <r>
    <x v="317"/>
    <x v="202"/>
    <x v="9"/>
    <x v="313"/>
    <x v="1"/>
    <x v="9"/>
    <x v="0"/>
    <x v="318"/>
    <s v="recommended"/>
  </r>
  <r>
    <x v="318"/>
    <x v="227"/>
    <x v="5"/>
    <x v="314"/>
    <x v="24"/>
    <x v="9"/>
    <x v="0"/>
    <x v="319"/>
    <s v="recommended"/>
  </r>
  <r>
    <x v="319"/>
    <x v="202"/>
    <x v="9"/>
    <x v="315"/>
    <x v="1"/>
    <x v="9"/>
    <x v="0"/>
    <x v="320"/>
    <s v="recommended"/>
  </r>
  <r>
    <x v="320"/>
    <x v="228"/>
    <x v="1"/>
    <x v="316"/>
    <x v="10"/>
    <x v="9"/>
    <x v="1"/>
    <x v="321"/>
    <s v="recommended"/>
  </r>
  <r>
    <x v="321"/>
    <x v="218"/>
    <x v="1"/>
    <x v="317"/>
    <x v="32"/>
    <x v="9"/>
    <x v="1"/>
    <x v="322"/>
    <s v="recommended"/>
  </r>
  <r>
    <x v="322"/>
    <x v="222"/>
    <x v="5"/>
    <x v="318"/>
    <x v="12"/>
    <x v="9"/>
    <x v="1"/>
    <x v="323"/>
    <s v="recommended"/>
  </r>
  <r>
    <x v="323"/>
    <x v="229"/>
    <x v="1"/>
    <x v="319"/>
    <x v="0"/>
    <x v="9"/>
    <x v="1"/>
    <x v="324"/>
    <s v="recommended"/>
  </r>
  <r>
    <x v="324"/>
    <x v="230"/>
    <x v="1"/>
    <x v="320"/>
    <x v="15"/>
    <x v="10"/>
    <x v="0"/>
    <x v="325"/>
    <s v="recommended"/>
  </r>
  <r>
    <x v="293"/>
    <x v="206"/>
    <x v="1"/>
    <x v="289"/>
    <x v="19"/>
    <x v="10"/>
    <x v="1"/>
    <x v="294"/>
    <s v="recommended"/>
  </r>
  <r>
    <x v="294"/>
    <x v="207"/>
    <x v="1"/>
    <x v="290"/>
    <x v="21"/>
    <x v="10"/>
    <x v="0"/>
    <x v="295"/>
    <s v="recommended"/>
  </r>
  <r>
    <x v="295"/>
    <x v="208"/>
    <x v="2"/>
    <x v="291"/>
    <x v="15"/>
    <x v="10"/>
    <x v="1"/>
    <x v="296"/>
    <s v="recommended"/>
  </r>
  <r>
    <x v="325"/>
    <x v="231"/>
    <x v="5"/>
    <x v="321"/>
    <x v="18"/>
    <x v="10"/>
    <x v="0"/>
    <x v="326"/>
    <s v="recommended"/>
  </r>
  <r>
    <x v="267"/>
    <x v="187"/>
    <x v="0"/>
    <x v="263"/>
    <x v="15"/>
    <x v="10"/>
    <x v="1"/>
    <x v="269"/>
    <s v="recommended"/>
  </r>
  <r>
    <x v="152"/>
    <x v="111"/>
    <x v="1"/>
    <x v="148"/>
    <x v="11"/>
    <x v="10"/>
    <x v="0"/>
    <x v="327"/>
    <s v="recommended"/>
  </r>
  <r>
    <x v="64"/>
    <x v="36"/>
    <x v="1"/>
    <x v="209"/>
    <x v="0"/>
    <x v="10"/>
    <x v="1"/>
    <x v="214"/>
    <s v="recommended"/>
  </r>
  <r>
    <x v="153"/>
    <x v="112"/>
    <x v="2"/>
    <x v="149"/>
    <x v="1"/>
    <x v="10"/>
    <x v="1"/>
    <x v="154"/>
    <s v="recommended"/>
  </r>
  <r>
    <x v="297"/>
    <x v="210"/>
    <x v="1"/>
    <x v="293"/>
    <x v="1"/>
    <x v="10"/>
    <x v="1"/>
    <x v="298"/>
    <s v="recommended"/>
  </r>
  <r>
    <x v="213"/>
    <x v="151"/>
    <x v="5"/>
    <x v="210"/>
    <x v="19"/>
    <x v="10"/>
    <x v="1"/>
    <x v="215"/>
    <s v="recommended"/>
  </r>
  <r>
    <x v="298"/>
    <x v="211"/>
    <x v="0"/>
    <x v="294"/>
    <x v="14"/>
    <x v="10"/>
    <x v="1"/>
    <x v="299"/>
    <s v="recommended"/>
  </r>
  <r>
    <x v="125"/>
    <x v="93"/>
    <x v="9"/>
    <x v="121"/>
    <x v="0"/>
    <x v="10"/>
    <x v="0"/>
    <x v="127"/>
    <s v="recommended"/>
  </r>
  <r>
    <x v="157"/>
    <x v="115"/>
    <x v="9"/>
    <x v="153"/>
    <x v="24"/>
    <x v="10"/>
    <x v="0"/>
    <x v="158"/>
    <s v="recommended"/>
  </r>
  <r>
    <x v="272"/>
    <x v="191"/>
    <x v="1"/>
    <x v="268"/>
    <x v="20"/>
    <x v="10"/>
    <x v="0"/>
    <x v="274"/>
    <s v="recommended"/>
  </r>
  <r>
    <x v="273"/>
    <x v="192"/>
    <x v="1"/>
    <x v="269"/>
    <x v="21"/>
    <x v="10"/>
    <x v="0"/>
    <x v="275"/>
    <s v="recommended"/>
  </r>
  <r>
    <x v="326"/>
    <x v="232"/>
    <x v="1"/>
    <x v="322"/>
    <x v="12"/>
    <x v="10"/>
    <x v="1"/>
    <x v="328"/>
    <s v="recommended"/>
  </r>
  <r>
    <x v="274"/>
    <x v="193"/>
    <x v="9"/>
    <x v="270"/>
    <x v="24"/>
    <x v="10"/>
    <x v="0"/>
    <x v="276"/>
    <s v="recommended"/>
  </r>
  <r>
    <x v="244"/>
    <x v="170"/>
    <x v="2"/>
    <x v="241"/>
    <x v="0"/>
    <x v="10"/>
    <x v="1"/>
    <x v="248"/>
    <s v="recommended"/>
  </r>
  <r>
    <x v="216"/>
    <x v="153"/>
    <x v="1"/>
    <x v="213"/>
    <x v="21"/>
    <x v="10"/>
    <x v="0"/>
    <x v="218"/>
    <s v="recommended"/>
  </r>
  <r>
    <x v="327"/>
    <x v="46"/>
    <x v="5"/>
    <x v="323"/>
    <x v="18"/>
    <x v="10"/>
    <x v="0"/>
    <x v="329"/>
    <s v="recommended"/>
  </r>
  <r>
    <x v="301"/>
    <x v="214"/>
    <x v="6"/>
    <x v="297"/>
    <x v="1"/>
    <x v="10"/>
    <x v="1"/>
    <x v="302"/>
    <s v="recommended"/>
  </r>
  <r>
    <x v="328"/>
    <x v="202"/>
    <x v="9"/>
    <x v="324"/>
    <x v="0"/>
    <x v="10"/>
    <x v="0"/>
    <x v="330"/>
    <s v="recommended"/>
  </r>
  <r>
    <x v="329"/>
    <x v="233"/>
    <x v="1"/>
    <x v="325"/>
    <x v="14"/>
    <x v="10"/>
    <x v="1"/>
    <x v="331"/>
    <s v="recommended"/>
  </r>
  <r>
    <x v="330"/>
    <x v="234"/>
    <x v="2"/>
    <x v="326"/>
    <x v="8"/>
    <x v="10"/>
    <x v="1"/>
    <x v="332"/>
    <s v="recommended"/>
  </r>
  <r>
    <x v="303"/>
    <x v="216"/>
    <x v="2"/>
    <x v="299"/>
    <x v="24"/>
    <x v="10"/>
    <x v="1"/>
    <x v="304"/>
    <s v="recommended"/>
  </r>
  <r>
    <x v="331"/>
    <x v="235"/>
    <x v="0"/>
    <x v="327"/>
    <x v="1"/>
    <x v="10"/>
    <x v="1"/>
    <x v="333"/>
    <s v="recommended"/>
  </r>
  <r>
    <x v="332"/>
    <x v="236"/>
    <x v="1"/>
    <x v="328"/>
    <x v="11"/>
    <x v="10"/>
    <x v="1"/>
    <x v="334"/>
    <s v="recommended"/>
  </r>
  <r>
    <x v="333"/>
    <x v="16"/>
    <x v="9"/>
    <x v="329"/>
    <x v="0"/>
    <x v="10"/>
    <x v="0"/>
    <x v="335"/>
    <s v="recommended"/>
  </r>
  <r>
    <x v="334"/>
    <x v="237"/>
    <x v="9"/>
    <x v="330"/>
    <x v="1"/>
    <x v="10"/>
    <x v="0"/>
    <x v="336"/>
    <s v="recommended"/>
  </r>
  <r>
    <x v="335"/>
    <x v="202"/>
    <x v="9"/>
    <x v="331"/>
    <x v="0"/>
    <x v="10"/>
    <x v="0"/>
    <x v="337"/>
    <s v="recommended"/>
  </r>
  <r>
    <x v="336"/>
    <x v="238"/>
    <x v="2"/>
    <x v="332"/>
    <x v="8"/>
    <x v="10"/>
    <x v="1"/>
    <x v="338"/>
    <s v="recommended"/>
  </r>
  <r>
    <x v="252"/>
    <x v="176"/>
    <x v="9"/>
    <x v="249"/>
    <x v="8"/>
    <x v="10"/>
    <x v="0"/>
    <x v="256"/>
    <s v="recommended"/>
  </r>
  <r>
    <x v="278"/>
    <x v="197"/>
    <x v="1"/>
    <x v="274"/>
    <x v="24"/>
    <x v="10"/>
    <x v="0"/>
    <x v="280"/>
    <s v="recommended"/>
  </r>
  <r>
    <x v="337"/>
    <x v="239"/>
    <x v="1"/>
    <x v="333"/>
    <x v="5"/>
    <x v="10"/>
    <x v="0"/>
    <x v="339"/>
    <s v="recommended"/>
  </r>
  <r>
    <x v="338"/>
    <x v="240"/>
    <x v="0"/>
    <x v="334"/>
    <x v="24"/>
    <x v="10"/>
    <x v="1"/>
    <x v="340"/>
    <s v="recommended"/>
  </r>
  <r>
    <x v="339"/>
    <x v="241"/>
    <x v="1"/>
    <x v="335"/>
    <x v="19"/>
    <x v="10"/>
    <x v="1"/>
    <x v="341"/>
    <s v="recommended"/>
  </r>
  <r>
    <x v="307"/>
    <x v="219"/>
    <x v="1"/>
    <x v="303"/>
    <x v="4"/>
    <x v="10"/>
    <x v="1"/>
    <x v="308"/>
    <s v="recommended"/>
  </r>
  <r>
    <x v="340"/>
    <x v="172"/>
    <x v="9"/>
    <x v="336"/>
    <x v="12"/>
    <x v="10"/>
    <x v="0"/>
    <x v="342"/>
    <s v="recommended"/>
  </r>
  <r>
    <x v="341"/>
    <x v="242"/>
    <x v="1"/>
    <x v="337"/>
    <x v="14"/>
    <x v="10"/>
    <x v="1"/>
    <x v="343"/>
    <s v="recommended"/>
  </r>
  <r>
    <x v="342"/>
    <x v="211"/>
    <x v="0"/>
    <x v="338"/>
    <x v="14"/>
    <x v="10"/>
    <x v="1"/>
    <x v="344"/>
    <s v="recommended"/>
  </r>
  <r>
    <x v="309"/>
    <x v="221"/>
    <x v="3"/>
    <x v="305"/>
    <x v="5"/>
    <x v="10"/>
    <x v="1"/>
    <x v="310"/>
    <s v="recommended"/>
  </r>
  <r>
    <x v="310"/>
    <x v="202"/>
    <x v="9"/>
    <x v="306"/>
    <x v="21"/>
    <x v="10"/>
    <x v="0"/>
    <x v="311"/>
    <s v="recommended"/>
  </r>
  <r>
    <x v="343"/>
    <x v="182"/>
    <x v="1"/>
    <x v="339"/>
    <x v="14"/>
    <x v="10"/>
    <x v="1"/>
    <x v="345"/>
    <s v="recommended"/>
  </r>
  <r>
    <x v="344"/>
    <x v="243"/>
    <x v="1"/>
    <x v="340"/>
    <x v="21"/>
    <x v="10"/>
    <x v="1"/>
    <x v="346"/>
    <s v="recommended"/>
  </r>
  <r>
    <x v="345"/>
    <x v="18"/>
    <x v="9"/>
    <x v="341"/>
    <x v="19"/>
    <x v="10"/>
    <x v="1"/>
    <x v="347"/>
    <s v="recommended"/>
  </r>
  <r>
    <x v="346"/>
    <x v="244"/>
    <x v="1"/>
    <x v="342"/>
    <x v="11"/>
    <x v="10"/>
    <x v="1"/>
    <x v="348"/>
    <s v="recommended"/>
  </r>
  <r>
    <x v="347"/>
    <x v="245"/>
    <x v="1"/>
    <x v="343"/>
    <x v="10"/>
    <x v="10"/>
    <x v="1"/>
    <x v="349"/>
    <s v="recommended"/>
  </r>
  <r>
    <x v="348"/>
    <x v="246"/>
    <x v="6"/>
    <x v="344"/>
    <x v="10"/>
    <x v="10"/>
    <x v="1"/>
    <x v="350"/>
    <s v="recommended"/>
  </r>
  <r>
    <x v="349"/>
    <x v="247"/>
    <x v="0"/>
    <x v="345"/>
    <x v="14"/>
    <x v="10"/>
    <x v="1"/>
    <x v="351"/>
    <s v="recommende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0">
  <r>
    <x v="0"/>
    <x v="0"/>
    <n v="46"/>
    <n v="19720"/>
    <n v="8"/>
    <n v="2009"/>
    <x v="0"/>
    <n v="157760"/>
    <s v="recommended"/>
  </r>
  <r>
    <x v="1"/>
    <x v="1"/>
    <n v="48"/>
    <n v="13871"/>
    <n v="6"/>
    <n v="2009"/>
    <x v="0"/>
    <n v="83226"/>
    <s v="recommended"/>
  </r>
  <r>
    <x v="2"/>
    <x v="2"/>
    <n v="47"/>
    <n v="11676"/>
    <n v="9"/>
    <n v="2009"/>
    <x v="0"/>
    <n v="105084"/>
    <s v="recommended"/>
  </r>
  <r>
    <x v="3"/>
    <x v="3"/>
    <n v="44"/>
    <n v="10559"/>
    <n v="2"/>
    <n v="2009"/>
    <x v="0"/>
    <n v="21118"/>
    <s v="recommended"/>
  </r>
  <r>
    <x v="4"/>
    <x v="4"/>
    <n v="46"/>
    <n v="10426"/>
    <n v="20"/>
    <n v="2009"/>
    <x v="1"/>
    <n v="208520"/>
    <s v="recommended"/>
  </r>
  <r>
    <x v="5"/>
    <x v="5"/>
    <n v="48"/>
    <n v="9967"/>
    <n v="13"/>
    <n v="2009"/>
    <x v="0"/>
    <n v="129571"/>
    <s v="recommended"/>
  </r>
  <r>
    <x v="6"/>
    <x v="2"/>
    <n v="46"/>
    <n v="9769"/>
    <n v="13"/>
    <n v="2009"/>
    <x v="0"/>
    <n v="126997"/>
    <s v="recommended"/>
  </r>
  <r>
    <x v="7"/>
    <x v="6"/>
    <n v="46"/>
    <n v="9325"/>
    <n v="24"/>
    <n v="2009"/>
    <x v="1"/>
    <n v="223800"/>
    <s v="recommended"/>
  </r>
  <r>
    <x v="8"/>
    <x v="7"/>
    <n v="42"/>
    <n v="8747"/>
    <n v="19"/>
    <n v="2009"/>
    <x v="0"/>
    <n v="166193"/>
    <s v="recommended"/>
  </r>
  <r>
    <x v="9"/>
    <x v="8"/>
    <n v="47"/>
    <n v="8587"/>
    <n v="10"/>
    <n v="2009"/>
    <x v="0"/>
    <n v="85870"/>
    <s v="recommended"/>
  </r>
  <r>
    <x v="10"/>
    <x v="9"/>
    <n v="45"/>
    <n v="8580"/>
    <n v="46"/>
    <n v="2009"/>
    <x v="1"/>
    <n v="394680"/>
    <s v="recommended"/>
  </r>
  <r>
    <x v="11"/>
    <x v="3"/>
    <n v="47"/>
    <n v="7251"/>
    <n v="16"/>
    <n v="2009"/>
    <x v="0"/>
    <n v="116016"/>
    <s v="recommended"/>
  </r>
  <r>
    <x v="12"/>
    <x v="10"/>
    <n v="43"/>
    <n v="6740"/>
    <n v="20"/>
    <n v="2009"/>
    <x v="0"/>
    <n v="134800"/>
    <s v="recommended"/>
  </r>
  <r>
    <x v="13"/>
    <x v="2"/>
    <n v="46"/>
    <n v="5680"/>
    <n v="10"/>
    <n v="2009"/>
    <x v="0"/>
    <n v="56800"/>
    <s v="recommended"/>
  </r>
  <r>
    <x v="14"/>
    <x v="2"/>
    <n v="47"/>
    <n v="5505"/>
    <n v="7"/>
    <n v="2009"/>
    <x v="0"/>
    <n v="38535"/>
    <s v="recommended"/>
  </r>
  <r>
    <x v="15"/>
    <x v="2"/>
    <n v="47"/>
    <n v="5505"/>
    <n v="18"/>
    <n v="2009"/>
    <x v="0"/>
    <n v="99090"/>
    <s v="recommended"/>
  </r>
  <r>
    <x v="16"/>
    <x v="11"/>
    <n v="4"/>
    <n v="5069"/>
    <n v="17"/>
    <n v="2009"/>
    <x v="1"/>
    <n v="86173"/>
    <s v="not recommended"/>
  </r>
  <r>
    <x v="17"/>
    <x v="12"/>
    <n v="46"/>
    <n v="5013"/>
    <n v="17"/>
    <n v="2009"/>
    <x v="1"/>
    <n v="85221"/>
    <s v="recommended"/>
  </r>
  <r>
    <x v="18"/>
    <x v="13"/>
    <n v="48"/>
    <n v="4628"/>
    <n v="7"/>
    <n v="2009"/>
    <x v="0"/>
    <n v="32396"/>
    <s v="recommended"/>
  </r>
  <r>
    <x v="19"/>
    <x v="14"/>
    <n v="42"/>
    <n v="4519"/>
    <n v="12"/>
    <n v="2009"/>
    <x v="0"/>
    <n v="54228"/>
    <s v="recommended"/>
  </r>
  <r>
    <x v="20"/>
    <x v="15"/>
    <n v="47"/>
    <n v="4028"/>
    <n v="9"/>
    <n v="2009"/>
    <x v="1"/>
    <n v="36252"/>
    <s v="recommended"/>
  </r>
  <r>
    <x v="21"/>
    <x v="16"/>
    <n v="48"/>
    <n v="3837"/>
    <n v="15"/>
    <n v="2009"/>
    <x v="0"/>
    <n v="57555"/>
    <s v="recommended"/>
  </r>
  <r>
    <x v="22"/>
    <x v="17"/>
    <n v="48"/>
    <n v="3829"/>
    <n v="42"/>
    <n v="2009"/>
    <x v="0"/>
    <n v="160818"/>
    <s v="recommended"/>
  </r>
  <r>
    <x v="23"/>
    <x v="18"/>
    <n v="48"/>
    <n v="3828"/>
    <n v="15"/>
    <n v="2009"/>
    <x v="1"/>
    <n v="57420"/>
    <s v="recommended"/>
  </r>
  <r>
    <x v="24"/>
    <x v="2"/>
    <n v="47"/>
    <n v="3801"/>
    <n v="82"/>
    <n v="2009"/>
    <x v="0"/>
    <n v="311682"/>
    <s v="recommended"/>
  </r>
  <r>
    <x v="25"/>
    <x v="19"/>
    <n v="44"/>
    <n v="3759"/>
    <n v="6"/>
    <n v="2009"/>
    <x v="0"/>
    <n v="22554"/>
    <s v="recommended"/>
  </r>
  <r>
    <x v="26"/>
    <x v="4"/>
    <n v="44"/>
    <n v="3503"/>
    <n v="9"/>
    <n v="2009"/>
    <x v="1"/>
    <n v="31527"/>
    <s v="recommended"/>
  </r>
  <r>
    <x v="27"/>
    <x v="20"/>
    <n v="45"/>
    <n v="3457"/>
    <n v="14"/>
    <n v="2009"/>
    <x v="1"/>
    <n v="48398"/>
    <s v="recommended"/>
  </r>
  <r>
    <x v="28"/>
    <x v="21"/>
    <n v="43"/>
    <n v="3319"/>
    <n v="11"/>
    <n v="2009"/>
    <x v="1"/>
    <n v="36509"/>
    <s v="recommended"/>
  </r>
  <r>
    <x v="29"/>
    <x v="22"/>
    <n v="46"/>
    <n v="3207"/>
    <n v="6"/>
    <n v="2009"/>
    <x v="1"/>
    <n v="19242"/>
    <s v="recommended"/>
  </r>
  <r>
    <x v="30"/>
    <x v="16"/>
    <n v="48"/>
    <n v="3181"/>
    <n v="12"/>
    <n v="2009"/>
    <x v="0"/>
    <n v="38172"/>
    <s v="recommended"/>
  </r>
  <r>
    <x v="31"/>
    <x v="23"/>
    <n v="48"/>
    <n v="2926"/>
    <n v="27"/>
    <n v="2009"/>
    <x v="1"/>
    <n v="79002"/>
    <s v="recommended"/>
  </r>
  <r>
    <x v="32"/>
    <x v="24"/>
    <n v="48"/>
    <n v="1930"/>
    <n v="4"/>
    <n v="2009"/>
    <x v="1"/>
    <n v="7720"/>
    <s v="recommended"/>
  </r>
  <r>
    <x v="33"/>
    <x v="25"/>
    <n v="4"/>
    <n v="1859"/>
    <n v="11"/>
    <n v="2009"/>
    <x v="0"/>
    <n v="20449"/>
    <s v="not recommended"/>
  </r>
  <r>
    <x v="34"/>
    <x v="26"/>
    <n v="48"/>
    <n v="1680"/>
    <n v="12"/>
    <n v="2009"/>
    <x v="1"/>
    <n v="20160"/>
    <s v="recommended"/>
  </r>
  <r>
    <x v="35"/>
    <x v="27"/>
    <n v="48"/>
    <n v="1655"/>
    <n v="13"/>
    <n v="2009"/>
    <x v="1"/>
    <n v="21515"/>
    <s v="recommended"/>
  </r>
  <r>
    <x v="36"/>
    <x v="28"/>
    <n v="46"/>
    <n v="1636"/>
    <n v="6"/>
    <n v="2009"/>
    <x v="1"/>
    <n v="9816"/>
    <s v="recommended"/>
  </r>
  <r>
    <x v="37"/>
    <x v="29"/>
    <n v="45"/>
    <n v="1583"/>
    <n v="18"/>
    <n v="2009"/>
    <x v="1"/>
    <n v="28494"/>
    <s v="recommended"/>
  </r>
  <r>
    <x v="38"/>
    <x v="30"/>
    <n v="47"/>
    <n v="1542"/>
    <n v="14"/>
    <n v="2009"/>
    <x v="1"/>
    <n v="21588"/>
    <s v="recommended"/>
  </r>
  <r>
    <x v="39"/>
    <x v="31"/>
    <n v="46"/>
    <n v="1541"/>
    <n v="4"/>
    <n v="2009"/>
    <x v="0"/>
    <n v="6164"/>
    <s v="recommended"/>
  </r>
  <r>
    <x v="40"/>
    <x v="32"/>
    <n v="46"/>
    <n v="1365"/>
    <n v="11"/>
    <n v="2009"/>
    <x v="1"/>
    <n v="15015"/>
    <s v="recommended"/>
  </r>
  <r>
    <x v="41"/>
    <x v="33"/>
    <n v="46"/>
    <n v="1320"/>
    <n v="7"/>
    <n v="2009"/>
    <x v="0"/>
    <n v="9240"/>
    <s v="recommended"/>
  </r>
  <r>
    <x v="42"/>
    <x v="31"/>
    <n v="47"/>
    <n v="973"/>
    <n v="25"/>
    <n v="2009"/>
    <x v="0"/>
    <n v="24325"/>
    <s v="recommended"/>
  </r>
  <r>
    <x v="43"/>
    <x v="34"/>
    <n v="43"/>
    <n v="956"/>
    <n v="14"/>
    <n v="2009"/>
    <x v="1"/>
    <n v="13384"/>
    <s v="recommended"/>
  </r>
  <r>
    <x v="44"/>
    <x v="35"/>
    <n v="47"/>
    <n v="858"/>
    <n v="53"/>
    <n v="2009"/>
    <x v="1"/>
    <n v="45474"/>
    <s v="recommended"/>
  </r>
  <r>
    <x v="45"/>
    <x v="36"/>
    <n v="46"/>
    <n v="803"/>
    <n v="9"/>
    <n v="2009"/>
    <x v="1"/>
    <n v="7227"/>
    <s v="recommended"/>
  </r>
  <r>
    <x v="46"/>
    <x v="32"/>
    <n v="46"/>
    <n v="798"/>
    <n v="5"/>
    <n v="2009"/>
    <x v="1"/>
    <n v="3990"/>
    <s v="recommended"/>
  </r>
  <r>
    <x v="47"/>
    <x v="34"/>
    <n v="45"/>
    <n v="720"/>
    <n v="1"/>
    <n v="2009"/>
    <x v="1"/>
    <n v="720"/>
    <s v="recommended"/>
  </r>
  <r>
    <x v="48"/>
    <x v="37"/>
    <n v="45"/>
    <n v="438"/>
    <n v="15"/>
    <n v="2009"/>
    <x v="1"/>
    <n v="6570"/>
    <s v="recommended"/>
  </r>
  <r>
    <x v="49"/>
    <x v="38"/>
    <n v="46"/>
    <n v="37"/>
    <n v="6"/>
    <n v="2009"/>
    <x v="1"/>
    <n v="222"/>
    <s v="recommended"/>
  </r>
  <r>
    <x v="50"/>
    <x v="39"/>
    <n v="47"/>
    <n v="32122"/>
    <n v="14"/>
    <n v="2010"/>
    <x v="0"/>
    <n v="449708"/>
    <s v="recommended"/>
  </r>
  <r>
    <x v="51"/>
    <x v="40"/>
    <n v="48"/>
    <n v="29673"/>
    <n v="16"/>
    <n v="2010"/>
    <x v="1"/>
    <n v="474768"/>
    <s v="recommended"/>
  </r>
  <r>
    <x v="52"/>
    <x v="39"/>
    <n v="45"/>
    <n v="26741"/>
    <n v="8"/>
    <n v="2010"/>
    <x v="0"/>
    <n v="213928"/>
    <s v="recommended"/>
  </r>
  <r>
    <x v="53"/>
    <x v="39"/>
    <n v="47"/>
    <n v="22614"/>
    <n v="11"/>
    <n v="2010"/>
    <x v="0"/>
    <n v="248754"/>
    <s v="recommended"/>
  </r>
  <r>
    <x v="1"/>
    <x v="1"/>
    <n v="48"/>
    <n v="13871"/>
    <n v="6"/>
    <n v="2010"/>
    <x v="0"/>
    <n v="83226"/>
    <s v="recommended"/>
  </r>
  <r>
    <x v="54"/>
    <x v="41"/>
    <n v="47"/>
    <n v="11813"/>
    <n v="10"/>
    <n v="2010"/>
    <x v="0"/>
    <n v="118130"/>
    <s v="recommended"/>
  </r>
  <r>
    <x v="3"/>
    <x v="3"/>
    <n v="44"/>
    <n v="10559"/>
    <n v="2"/>
    <n v="2010"/>
    <x v="0"/>
    <n v="21118"/>
    <s v="recommended"/>
  </r>
  <r>
    <x v="4"/>
    <x v="4"/>
    <n v="46"/>
    <n v="10426"/>
    <n v="20"/>
    <n v="2010"/>
    <x v="1"/>
    <n v="208520"/>
    <s v="recommended"/>
  </r>
  <r>
    <x v="55"/>
    <x v="42"/>
    <n v="47"/>
    <n v="9289"/>
    <n v="13"/>
    <n v="2010"/>
    <x v="1"/>
    <n v="120757"/>
    <s v="recommended"/>
  </r>
  <r>
    <x v="10"/>
    <x v="9"/>
    <n v="45"/>
    <n v="8580"/>
    <n v="46"/>
    <n v="2010"/>
    <x v="1"/>
    <n v="394680"/>
    <s v="recommended"/>
  </r>
  <r>
    <x v="56"/>
    <x v="3"/>
    <n v="47"/>
    <n v="7747"/>
    <n v="14"/>
    <n v="2010"/>
    <x v="0"/>
    <n v="108458"/>
    <s v="recommended"/>
  </r>
  <r>
    <x v="57"/>
    <x v="3"/>
    <n v="47"/>
    <n v="7251"/>
    <n v="9"/>
    <n v="2010"/>
    <x v="0"/>
    <n v="65259"/>
    <s v="recommended"/>
  </r>
  <r>
    <x v="16"/>
    <x v="11"/>
    <n v="4"/>
    <n v="5069"/>
    <n v="17"/>
    <n v="2010"/>
    <x v="1"/>
    <n v="86173"/>
    <s v="not recommended"/>
  </r>
  <r>
    <x v="58"/>
    <x v="43"/>
    <n v="46"/>
    <n v="4866"/>
    <n v="11"/>
    <n v="2010"/>
    <x v="0"/>
    <n v="53526"/>
    <s v="recommended"/>
  </r>
  <r>
    <x v="18"/>
    <x v="13"/>
    <n v="48"/>
    <n v="4628"/>
    <n v="7"/>
    <n v="2010"/>
    <x v="0"/>
    <n v="32396"/>
    <s v="recommended"/>
  </r>
  <r>
    <x v="59"/>
    <x v="13"/>
    <n v="48"/>
    <n v="4506"/>
    <n v="14"/>
    <n v="2010"/>
    <x v="0"/>
    <n v="63084"/>
    <s v="recommended"/>
  </r>
  <r>
    <x v="60"/>
    <x v="16"/>
    <n v="48"/>
    <n v="3796"/>
    <n v="12"/>
    <n v="2010"/>
    <x v="0"/>
    <n v="45552"/>
    <s v="recommended"/>
  </r>
  <r>
    <x v="61"/>
    <x v="44"/>
    <n v="46"/>
    <n v="3619"/>
    <n v="10"/>
    <n v="2010"/>
    <x v="0"/>
    <n v="36190"/>
    <s v="recommended"/>
  </r>
  <r>
    <x v="62"/>
    <x v="45"/>
    <n v="47"/>
    <n v="3536"/>
    <n v="17"/>
    <n v="2010"/>
    <x v="1"/>
    <n v="60112"/>
    <s v="recommended"/>
  </r>
  <r>
    <x v="63"/>
    <x v="46"/>
    <n v="43"/>
    <n v="3523"/>
    <n v="13"/>
    <n v="2010"/>
    <x v="0"/>
    <n v="45799"/>
    <s v="recommended"/>
  </r>
  <r>
    <x v="64"/>
    <x v="36"/>
    <n v="47"/>
    <n v="3477"/>
    <n v="28"/>
    <n v="2010"/>
    <x v="1"/>
    <n v="97356"/>
    <s v="recommended"/>
  </r>
  <r>
    <x v="27"/>
    <x v="20"/>
    <n v="45"/>
    <n v="3457"/>
    <n v="14"/>
    <n v="2010"/>
    <x v="1"/>
    <n v="48398"/>
    <s v="recommended"/>
  </r>
  <r>
    <x v="28"/>
    <x v="21"/>
    <n v="43"/>
    <n v="3319"/>
    <n v="11"/>
    <n v="2010"/>
    <x v="1"/>
    <n v="36509"/>
    <s v="recommended"/>
  </r>
  <r>
    <x v="29"/>
    <x v="22"/>
    <n v="46"/>
    <n v="3207"/>
    <n v="6"/>
    <n v="2010"/>
    <x v="1"/>
    <n v="19242"/>
    <s v="recommended"/>
  </r>
  <r>
    <x v="65"/>
    <x v="47"/>
    <n v="45"/>
    <n v="2752"/>
    <n v="18"/>
    <n v="2010"/>
    <x v="1"/>
    <n v="49536"/>
    <s v="recommended"/>
  </r>
  <r>
    <x v="66"/>
    <x v="48"/>
    <n v="45"/>
    <n v="2525"/>
    <n v="16"/>
    <n v="2010"/>
    <x v="1"/>
    <n v="40400"/>
    <s v="recommended"/>
  </r>
  <r>
    <x v="67"/>
    <x v="49"/>
    <n v="48"/>
    <n v="2282"/>
    <n v="21"/>
    <n v="2010"/>
    <x v="0"/>
    <n v="47922"/>
    <s v="recommended"/>
  </r>
  <r>
    <x v="68"/>
    <x v="13"/>
    <n v="46"/>
    <n v="2186"/>
    <n v="12"/>
    <n v="2010"/>
    <x v="0"/>
    <n v="26232"/>
    <s v="recommended"/>
  </r>
  <r>
    <x v="69"/>
    <x v="50"/>
    <n v="46"/>
    <n v="2137"/>
    <n v="17"/>
    <n v="2010"/>
    <x v="1"/>
    <n v="36329"/>
    <s v="recommended"/>
  </r>
  <r>
    <x v="70"/>
    <x v="2"/>
    <n v="46"/>
    <n v="2122"/>
    <n v="0"/>
    <n v="2010"/>
    <x v="0"/>
    <n v="0"/>
    <s v="recommended"/>
  </r>
  <r>
    <x v="71"/>
    <x v="51"/>
    <n v="47"/>
    <n v="1985"/>
    <n v="9"/>
    <n v="2010"/>
    <x v="1"/>
    <n v="17865"/>
    <s v="recommended"/>
  </r>
  <r>
    <x v="72"/>
    <x v="31"/>
    <n v="43"/>
    <n v="1924"/>
    <n v="8"/>
    <n v="2010"/>
    <x v="0"/>
    <n v="15392"/>
    <s v="recommended"/>
  </r>
  <r>
    <x v="73"/>
    <x v="52"/>
    <n v="46"/>
    <n v="1907"/>
    <n v="13"/>
    <n v="2010"/>
    <x v="1"/>
    <n v="24791"/>
    <s v="recommended"/>
  </r>
  <r>
    <x v="74"/>
    <x v="53"/>
    <n v="46"/>
    <n v="1651"/>
    <n v="15"/>
    <n v="2010"/>
    <x v="1"/>
    <n v="24765"/>
    <s v="recommended"/>
  </r>
  <r>
    <x v="75"/>
    <x v="54"/>
    <n v="44"/>
    <n v="1555"/>
    <n v="9"/>
    <n v="2010"/>
    <x v="1"/>
    <n v="13995"/>
    <s v="recommended"/>
  </r>
  <r>
    <x v="38"/>
    <x v="30"/>
    <n v="47"/>
    <n v="1542"/>
    <n v="14"/>
    <n v="2010"/>
    <x v="1"/>
    <n v="21588"/>
    <s v="recommended"/>
  </r>
  <r>
    <x v="76"/>
    <x v="55"/>
    <n v="41"/>
    <n v="1467"/>
    <n v="10"/>
    <n v="2010"/>
    <x v="0"/>
    <n v="14670"/>
    <s v="recommended"/>
  </r>
  <r>
    <x v="77"/>
    <x v="56"/>
    <n v="42"/>
    <n v="1302"/>
    <n v="11"/>
    <n v="2010"/>
    <x v="1"/>
    <n v="14322"/>
    <s v="recommended"/>
  </r>
  <r>
    <x v="78"/>
    <x v="57"/>
    <n v="47"/>
    <n v="1265"/>
    <n v="11"/>
    <n v="2010"/>
    <x v="1"/>
    <n v="13915"/>
    <s v="recommended"/>
  </r>
  <r>
    <x v="79"/>
    <x v="58"/>
    <n v="44"/>
    <n v="1215"/>
    <n v="9"/>
    <n v="2010"/>
    <x v="1"/>
    <n v="10935"/>
    <s v="recommended"/>
  </r>
  <r>
    <x v="80"/>
    <x v="59"/>
    <n v="46"/>
    <n v="1204"/>
    <n v="14"/>
    <n v="2010"/>
    <x v="1"/>
    <n v="16856"/>
    <s v="recommended"/>
  </r>
  <r>
    <x v="81"/>
    <x v="60"/>
    <n v="44"/>
    <n v="1201"/>
    <n v="40"/>
    <n v="2010"/>
    <x v="1"/>
    <n v="48040"/>
    <s v="recommended"/>
  </r>
  <r>
    <x v="82"/>
    <x v="61"/>
    <n v="44"/>
    <n v="637"/>
    <n v="20"/>
    <n v="2010"/>
    <x v="1"/>
    <n v="12740"/>
    <s v="recommended"/>
  </r>
  <r>
    <x v="83"/>
    <x v="62"/>
    <n v="47"/>
    <n v="615"/>
    <n v="21"/>
    <n v="2010"/>
    <x v="1"/>
    <n v="12915"/>
    <s v="recommended"/>
  </r>
  <r>
    <x v="84"/>
    <x v="13"/>
    <n v="48"/>
    <n v="548"/>
    <n v="2"/>
    <n v="2010"/>
    <x v="0"/>
    <n v="1096"/>
    <s v="recommended"/>
  </r>
  <r>
    <x v="85"/>
    <x v="63"/>
    <n v="42"/>
    <n v="491"/>
    <n v="14"/>
    <n v="2010"/>
    <x v="1"/>
    <n v="6874"/>
    <s v="recommended"/>
  </r>
  <r>
    <x v="86"/>
    <x v="32"/>
    <n v="45"/>
    <n v="471"/>
    <n v="8"/>
    <n v="2010"/>
    <x v="1"/>
    <n v="3768"/>
    <s v="recommended"/>
  </r>
  <r>
    <x v="87"/>
    <x v="64"/>
    <n v="46"/>
    <n v="460"/>
    <n v="2"/>
    <n v="2010"/>
    <x v="1"/>
    <n v="920"/>
    <s v="recommended"/>
  </r>
  <r>
    <x v="88"/>
    <x v="65"/>
    <n v="44"/>
    <n v="440"/>
    <n v="11"/>
    <n v="2010"/>
    <x v="1"/>
    <n v="4840"/>
    <s v="recommended"/>
  </r>
  <r>
    <x v="89"/>
    <x v="66"/>
    <n v="45"/>
    <n v="408"/>
    <n v="20"/>
    <n v="2010"/>
    <x v="1"/>
    <n v="8160"/>
    <s v="recommended"/>
  </r>
  <r>
    <x v="90"/>
    <x v="39"/>
    <n v="47"/>
    <n v="32122"/>
    <n v="8"/>
    <n v="2011"/>
    <x v="0"/>
    <n v="256976"/>
    <s v="recommended"/>
  </r>
  <r>
    <x v="51"/>
    <x v="40"/>
    <n v="48"/>
    <n v="29673"/>
    <n v="16"/>
    <n v="2011"/>
    <x v="1"/>
    <n v="474768"/>
    <s v="recommended"/>
  </r>
  <r>
    <x v="52"/>
    <x v="39"/>
    <n v="45"/>
    <n v="26741"/>
    <n v="8"/>
    <n v="2011"/>
    <x v="0"/>
    <n v="213928"/>
    <s v="recommended"/>
  </r>
  <r>
    <x v="53"/>
    <x v="39"/>
    <n v="47"/>
    <n v="22614"/>
    <n v="11"/>
    <n v="2011"/>
    <x v="0"/>
    <n v="248754"/>
    <s v="recommended"/>
  </r>
  <r>
    <x v="91"/>
    <x v="67"/>
    <n v="49"/>
    <n v="19576"/>
    <n v="8"/>
    <n v="2011"/>
    <x v="1"/>
    <n v="156608"/>
    <s v="recommended"/>
  </r>
  <r>
    <x v="92"/>
    <x v="39"/>
    <n v="48"/>
    <n v="16949"/>
    <n v="30"/>
    <n v="2011"/>
    <x v="0"/>
    <n v="508470"/>
    <s v="recommended"/>
  </r>
  <r>
    <x v="93"/>
    <x v="68"/>
    <n v="47"/>
    <n v="15779"/>
    <n v="10"/>
    <n v="2011"/>
    <x v="1"/>
    <n v="157790"/>
    <s v="recommended"/>
  </r>
  <r>
    <x v="1"/>
    <x v="1"/>
    <n v="48"/>
    <n v="13871"/>
    <n v="8"/>
    <n v="2011"/>
    <x v="0"/>
    <n v="110968"/>
    <s v="recommended"/>
  </r>
  <r>
    <x v="1"/>
    <x v="1"/>
    <n v="48"/>
    <n v="13871"/>
    <n v="7"/>
    <n v="2011"/>
    <x v="0"/>
    <n v="97097"/>
    <s v="recommended"/>
  </r>
  <r>
    <x v="94"/>
    <x v="69"/>
    <n v="44"/>
    <n v="12643"/>
    <n v="11"/>
    <n v="2011"/>
    <x v="0"/>
    <n v="139073"/>
    <s v="recommended"/>
  </r>
  <r>
    <x v="54"/>
    <x v="41"/>
    <n v="47"/>
    <n v="11813"/>
    <n v="10"/>
    <n v="2011"/>
    <x v="0"/>
    <n v="118130"/>
    <s v="recommended"/>
  </r>
  <r>
    <x v="95"/>
    <x v="70"/>
    <n v="46"/>
    <n v="11034"/>
    <n v="19"/>
    <n v="2011"/>
    <x v="1"/>
    <n v="209646"/>
    <s v="recommended"/>
  </r>
  <r>
    <x v="96"/>
    <x v="71"/>
    <n v="48"/>
    <n v="9568"/>
    <n v="9"/>
    <n v="2011"/>
    <x v="0"/>
    <n v="86112"/>
    <s v="recommended"/>
  </r>
  <r>
    <x v="97"/>
    <x v="72"/>
    <n v="47"/>
    <n v="9342"/>
    <n v="10"/>
    <n v="2011"/>
    <x v="1"/>
    <n v="93420"/>
    <s v="recommended"/>
  </r>
  <r>
    <x v="7"/>
    <x v="6"/>
    <n v="46"/>
    <n v="9325"/>
    <n v="24"/>
    <n v="2011"/>
    <x v="1"/>
    <n v="223800"/>
    <s v="recommended"/>
  </r>
  <r>
    <x v="55"/>
    <x v="42"/>
    <n v="47"/>
    <n v="9289"/>
    <n v="9"/>
    <n v="2011"/>
    <x v="1"/>
    <n v="83601"/>
    <s v="recommended"/>
  </r>
  <r>
    <x v="98"/>
    <x v="73"/>
    <n v="45"/>
    <n v="8958"/>
    <n v="12"/>
    <n v="2011"/>
    <x v="0"/>
    <n v="107496"/>
    <s v="recommended"/>
  </r>
  <r>
    <x v="10"/>
    <x v="9"/>
    <n v="45"/>
    <n v="8580"/>
    <n v="46"/>
    <n v="2011"/>
    <x v="1"/>
    <n v="394680"/>
    <s v="recommended"/>
  </r>
  <r>
    <x v="99"/>
    <x v="74"/>
    <n v="46"/>
    <n v="7827"/>
    <n v="20"/>
    <n v="2011"/>
    <x v="1"/>
    <n v="156540"/>
    <s v="recommended"/>
  </r>
  <r>
    <x v="56"/>
    <x v="3"/>
    <n v="47"/>
    <n v="7747"/>
    <n v="14"/>
    <n v="2011"/>
    <x v="0"/>
    <n v="108458"/>
    <s v="recommended"/>
  </r>
  <r>
    <x v="100"/>
    <x v="75"/>
    <n v="45"/>
    <n v="6346"/>
    <n v="9"/>
    <n v="2011"/>
    <x v="1"/>
    <n v="57114"/>
    <s v="recommended"/>
  </r>
  <r>
    <x v="101"/>
    <x v="46"/>
    <n v="44"/>
    <n v="6222"/>
    <n v="18"/>
    <n v="2011"/>
    <x v="0"/>
    <n v="111996"/>
    <s v="recommended"/>
  </r>
  <r>
    <x v="102"/>
    <x v="76"/>
    <n v="43"/>
    <n v="5977"/>
    <n v="12"/>
    <n v="2011"/>
    <x v="1"/>
    <n v="71724"/>
    <s v="recommended"/>
  </r>
  <r>
    <x v="103"/>
    <x v="77"/>
    <n v="46"/>
    <n v="5594"/>
    <n v="5"/>
    <n v="2011"/>
    <x v="0"/>
    <n v="27970"/>
    <s v="recommended"/>
  </r>
  <r>
    <x v="104"/>
    <x v="78"/>
    <n v="46"/>
    <n v="5299"/>
    <n v="20"/>
    <n v="2011"/>
    <x v="0"/>
    <n v="105980"/>
    <s v="recommended"/>
  </r>
  <r>
    <x v="16"/>
    <x v="11"/>
    <n v="4"/>
    <n v="5069"/>
    <n v="17"/>
    <n v="2011"/>
    <x v="1"/>
    <n v="86173"/>
    <s v="not recommended"/>
  </r>
  <r>
    <x v="58"/>
    <x v="43"/>
    <n v="46"/>
    <n v="4866"/>
    <n v="11"/>
    <n v="2011"/>
    <x v="0"/>
    <n v="53526"/>
    <s v="recommended"/>
  </r>
  <r>
    <x v="105"/>
    <x v="79"/>
    <n v="47"/>
    <n v="4633"/>
    <n v="21"/>
    <n v="2011"/>
    <x v="1"/>
    <n v="97293"/>
    <s v="recommended"/>
  </r>
  <r>
    <x v="106"/>
    <x v="80"/>
    <n v="43"/>
    <n v="4587"/>
    <n v="21"/>
    <n v="2011"/>
    <x v="1"/>
    <n v="96327"/>
    <s v="recommended"/>
  </r>
  <r>
    <x v="107"/>
    <x v="81"/>
    <n v="44"/>
    <n v="4571"/>
    <n v="21"/>
    <n v="2011"/>
    <x v="1"/>
    <n v="95991"/>
    <s v="recommended"/>
  </r>
  <r>
    <x v="108"/>
    <x v="16"/>
    <n v="48"/>
    <n v="4505"/>
    <n v="0"/>
    <n v="2011"/>
    <x v="0"/>
    <n v="0"/>
    <s v="recommended"/>
  </r>
  <r>
    <x v="109"/>
    <x v="13"/>
    <n v="48"/>
    <n v="4290"/>
    <n v="10"/>
    <n v="2011"/>
    <x v="0"/>
    <n v="42900"/>
    <s v="recommended"/>
  </r>
  <r>
    <x v="110"/>
    <x v="82"/>
    <n v="44"/>
    <n v="4247"/>
    <n v="13"/>
    <n v="2011"/>
    <x v="1"/>
    <n v="55211"/>
    <s v="recommended"/>
  </r>
  <r>
    <x v="111"/>
    <x v="83"/>
    <n v="46"/>
    <n v="4149"/>
    <n v="32"/>
    <n v="2011"/>
    <x v="1"/>
    <n v="132768"/>
    <s v="recommended"/>
  </r>
  <r>
    <x v="112"/>
    <x v="84"/>
    <n v="43"/>
    <n v="3759"/>
    <n v="16"/>
    <n v="2011"/>
    <x v="0"/>
    <n v="60144"/>
    <s v="recommended"/>
  </r>
  <r>
    <x v="64"/>
    <x v="36"/>
    <n v="47"/>
    <n v="3477"/>
    <n v="28"/>
    <n v="2011"/>
    <x v="1"/>
    <n v="97356"/>
    <s v="recommended"/>
  </r>
  <r>
    <x v="27"/>
    <x v="20"/>
    <n v="45"/>
    <n v="3457"/>
    <n v="14"/>
    <n v="2011"/>
    <x v="1"/>
    <n v="48398"/>
    <s v="recommended"/>
  </r>
  <r>
    <x v="113"/>
    <x v="85"/>
    <n v="44"/>
    <n v="3341"/>
    <n v="9"/>
    <n v="2011"/>
    <x v="1"/>
    <n v="30069"/>
    <s v="recommended"/>
  </r>
  <r>
    <x v="29"/>
    <x v="22"/>
    <n v="46"/>
    <n v="3207"/>
    <n v="6"/>
    <n v="2011"/>
    <x v="1"/>
    <n v="19242"/>
    <s v="recommended"/>
  </r>
  <r>
    <x v="114"/>
    <x v="86"/>
    <n v="46"/>
    <n v="3163"/>
    <n v="13"/>
    <n v="2011"/>
    <x v="1"/>
    <n v="41119"/>
    <s v="recommended"/>
  </r>
  <r>
    <x v="115"/>
    <x v="87"/>
    <n v="43"/>
    <n v="2314"/>
    <n v="22"/>
    <n v="2011"/>
    <x v="1"/>
    <n v="50908"/>
    <s v="recommended"/>
  </r>
  <r>
    <x v="116"/>
    <x v="31"/>
    <n v="42"/>
    <n v="2094"/>
    <n v="4"/>
    <n v="2011"/>
    <x v="0"/>
    <n v="8376"/>
    <s v="recommended"/>
  </r>
  <r>
    <x v="117"/>
    <x v="10"/>
    <n v="46"/>
    <n v="2052"/>
    <n v="22"/>
    <n v="2011"/>
    <x v="0"/>
    <n v="45144"/>
    <s v="recommended"/>
  </r>
  <r>
    <x v="118"/>
    <x v="88"/>
    <n v="41"/>
    <n v="2023"/>
    <n v="15"/>
    <n v="2011"/>
    <x v="1"/>
    <n v="30345"/>
    <s v="recommended"/>
  </r>
  <r>
    <x v="71"/>
    <x v="51"/>
    <n v="47"/>
    <n v="1985"/>
    <n v="9"/>
    <n v="2011"/>
    <x v="1"/>
    <n v="17865"/>
    <s v="recommended"/>
  </r>
  <r>
    <x v="119"/>
    <x v="89"/>
    <n v="42"/>
    <n v="1649"/>
    <n v="13"/>
    <n v="2011"/>
    <x v="1"/>
    <n v="21437"/>
    <s v="recommended"/>
  </r>
  <r>
    <x v="38"/>
    <x v="30"/>
    <n v="47"/>
    <n v="1542"/>
    <n v="14"/>
    <n v="2011"/>
    <x v="1"/>
    <n v="21588"/>
    <s v="recommended"/>
  </r>
  <r>
    <x v="120"/>
    <x v="13"/>
    <n v="47"/>
    <n v="1463"/>
    <n v="10"/>
    <n v="2011"/>
    <x v="0"/>
    <n v="14630"/>
    <s v="recommended"/>
  </r>
  <r>
    <x v="81"/>
    <x v="60"/>
    <n v="44"/>
    <n v="1201"/>
    <n v="40"/>
    <n v="2011"/>
    <x v="1"/>
    <n v="48040"/>
    <s v="recommended"/>
  </r>
  <r>
    <x v="82"/>
    <x v="61"/>
    <n v="44"/>
    <n v="637"/>
    <n v="20"/>
    <n v="2011"/>
    <x v="1"/>
    <n v="12740"/>
    <s v="recommended"/>
  </r>
  <r>
    <x v="121"/>
    <x v="90"/>
    <n v="4"/>
    <n v="57271"/>
    <n v="10"/>
    <n v="2012"/>
    <x v="0"/>
    <n v="572710"/>
    <s v="not recommended"/>
  </r>
  <r>
    <x v="122"/>
    <x v="91"/>
    <n v="47"/>
    <n v="50482"/>
    <n v="13"/>
    <n v="2012"/>
    <x v="0"/>
    <n v="656266"/>
    <s v="recommended"/>
  </r>
  <r>
    <x v="123"/>
    <x v="92"/>
    <n v="38"/>
    <n v="47265"/>
    <n v="14"/>
    <n v="2012"/>
    <x v="0"/>
    <n v="661710"/>
    <s v="not recommended"/>
  </r>
  <r>
    <x v="90"/>
    <x v="39"/>
    <n v="47"/>
    <n v="32122"/>
    <n v="8"/>
    <n v="2012"/>
    <x v="0"/>
    <n v="256976"/>
    <s v="recommended"/>
  </r>
  <r>
    <x v="51"/>
    <x v="40"/>
    <n v="48"/>
    <n v="29673"/>
    <n v="16"/>
    <n v="2012"/>
    <x v="1"/>
    <n v="474768"/>
    <s v="recommended"/>
  </r>
  <r>
    <x v="52"/>
    <x v="39"/>
    <n v="45"/>
    <n v="26741"/>
    <n v="8"/>
    <n v="2012"/>
    <x v="0"/>
    <n v="213928"/>
    <s v="recommended"/>
  </r>
  <r>
    <x v="124"/>
    <x v="92"/>
    <n v="44"/>
    <n v="23631"/>
    <n v="7"/>
    <n v="2012"/>
    <x v="0"/>
    <n v="165417"/>
    <s v="recommended"/>
  </r>
  <r>
    <x v="53"/>
    <x v="39"/>
    <n v="47"/>
    <n v="22614"/>
    <n v="11"/>
    <n v="2012"/>
    <x v="0"/>
    <n v="248754"/>
    <s v="recommended"/>
  </r>
  <r>
    <x v="125"/>
    <x v="93"/>
    <n v="49"/>
    <n v="21834"/>
    <n v="8"/>
    <n v="2012"/>
    <x v="0"/>
    <n v="174672"/>
    <s v="recommended"/>
  </r>
  <r>
    <x v="126"/>
    <x v="92"/>
    <n v="45"/>
    <n v="20262"/>
    <n v="11"/>
    <n v="2012"/>
    <x v="0"/>
    <n v="222882"/>
    <s v="recommended"/>
  </r>
  <r>
    <x v="91"/>
    <x v="67"/>
    <n v="49"/>
    <n v="19576"/>
    <n v="8"/>
    <n v="2012"/>
    <x v="1"/>
    <n v="156608"/>
    <s v="recommended"/>
  </r>
  <r>
    <x v="127"/>
    <x v="94"/>
    <n v="44"/>
    <n v="17044"/>
    <n v="18"/>
    <n v="2012"/>
    <x v="1"/>
    <n v="306792"/>
    <s v="recommended"/>
  </r>
  <r>
    <x v="92"/>
    <x v="39"/>
    <n v="48"/>
    <n v="16949"/>
    <n v="30"/>
    <n v="2012"/>
    <x v="0"/>
    <n v="508470"/>
    <s v="recommended"/>
  </r>
  <r>
    <x v="93"/>
    <x v="68"/>
    <n v="47"/>
    <n v="15779"/>
    <n v="10"/>
    <n v="2012"/>
    <x v="1"/>
    <n v="157790"/>
    <s v="recommended"/>
  </r>
  <r>
    <x v="128"/>
    <x v="46"/>
    <n v="43"/>
    <n v="14493"/>
    <n v="18"/>
    <n v="2012"/>
    <x v="0"/>
    <n v="260874"/>
    <s v="recommended"/>
  </r>
  <r>
    <x v="129"/>
    <x v="92"/>
    <n v="45"/>
    <n v="13964"/>
    <n v="32"/>
    <n v="2012"/>
    <x v="0"/>
    <n v="446848"/>
    <s v="recommended"/>
  </r>
  <r>
    <x v="130"/>
    <x v="95"/>
    <n v="43"/>
    <n v="13616"/>
    <n v="10"/>
    <n v="2012"/>
    <x v="1"/>
    <n v="136160"/>
    <s v="recommended"/>
  </r>
  <r>
    <x v="131"/>
    <x v="96"/>
    <n v="44"/>
    <n v="11616"/>
    <n v="7"/>
    <n v="2012"/>
    <x v="0"/>
    <n v="81312"/>
    <s v="recommended"/>
  </r>
  <r>
    <x v="132"/>
    <x v="97"/>
    <n v="46"/>
    <n v="11098"/>
    <n v="13"/>
    <n v="2012"/>
    <x v="0"/>
    <n v="144274"/>
    <s v="recommended"/>
  </r>
  <r>
    <x v="95"/>
    <x v="70"/>
    <n v="46"/>
    <n v="11034"/>
    <n v="19"/>
    <n v="2012"/>
    <x v="1"/>
    <n v="209646"/>
    <s v="recommended"/>
  </r>
  <r>
    <x v="133"/>
    <x v="98"/>
    <n v="46"/>
    <n v="10795"/>
    <n v="21"/>
    <n v="2012"/>
    <x v="1"/>
    <n v="226695"/>
    <s v="recommended"/>
  </r>
  <r>
    <x v="134"/>
    <x v="99"/>
    <n v="45"/>
    <n v="10760"/>
    <n v="15"/>
    <n v="2012"/>
    <x v="0"/>
    <n v="161400"/>
    <s v="recommended"/>
  </r>
  <r>
    <x v="135"/>
    <x v="100"/>
    <n v="46"/>
    <n v="10009"/>
    <n v="20"/>
    <n v="2012"/>
    <x v="1"/>
    <n v="200180"/>
    <s v="recommended"/>
  </r>
  <r>
    <x v="136"/>
    <x v="101"/>
    <n v="33"/>
    <n v="9372"/>
    <n v="12"/>
    <n v="2012"/>
    <x v="0"/>
    <n v="112464"/>
    <s v="not recommended"/>
  </r>
  <r>
    <x v="97"/>
    <x v="72"/>
    <n v="47"/>
    <n v="9342"/>
    <n v="10"/>
    <n v="2012"/>
    <x v="1"/>
    <n v="93420"/>
    <s v="recommended"/>
  </r>
  <r>
    <x v="7"/>
    <x v="6"/>
    <n v="46"/>
    <n v="9325"/>
    <n v="24"/>
    <n v="2012"/>
    <x v="1"/>
    <n v="223800"/>
    <s v="recommended"/>
  </r>
  <r>
    <x v="55"/>
    <x v="42"/>
    <n v="47"/>
    <n v="9289"/>
    <n v="9"/>
    <n v="2012"/>
    <x v="1"/>
    <n v="83601"/>
    <s v="recommended"/>
  </r>
  <r>
    <x v="137"/>
    <x v="72"/>
    <n v="46"/>
    <n v="8634"/>
    <n v="25"/>
    <n v="2012"/>
    <x v="1"/>
    <n v="215850"/>
    <s v="recommended"/>
  </r>
  <r>
    <x v="10"/>
    <x v="9"/>
    <n v="45"/>
    <n v="8580"/>
    <n v="46"/>
    <n v="2012"/>
    <x v="1"/>
    <n v="394680"/>
    <s v="recommended"/>
  </r>
  <r>
    <x v="138"/>
    <x v="102"/>
    <n v="46"/>
    <n v="8093"/>
    <n v="14"/>
    <n v="2012"/>
    <x v="1"/>
    <n v="113302"/>
    <s v="recommended"/>
  </r>
  <r>
    <x v="99"/>
    <x v="74"/>
    <n v="46"/>
    <n v="7827"/>
    <n v="20"/>
    <n v="2012"/>
    <x v="1"/>
    <n v="156540"/>
    <s v="recommended"/>
  </r>
  <r>
    <x v="139"/>
    <x v="103"/>
    <n v="44"/>
    <n v="7497"/>
    <n v="6"/>
    <n v="2012"/>
    <x v="1"/>
    <n v="44982"/>
    <s v="recommended"/>
  </r>
  <r>
    <x v="140"/>
    <x v="104"/>
    <n v="49"/>
    <n v="7038"/>
    <n v="7"/>
    <n v="2012"/>
    <x v="0"/>
    <n v="49266"/>
    <s v="recommended"/>
  </r>
  <r>
    <x v="141"/>
    <x v="16"/>
    <n v="47"/>
    <n v="6377"/>
    <n v="7"/>
    <n v="2012"/>
    <x v="0"/>
    <n v="44639"/>
    <s v="recommended"/>
  </r>
  <r>
    <x v="100"/>
    <x v="75"/>
    <n v="45"/>
    <n v="6346"/>
    <n v="9"/>
    <n v="2012"/>
    <x v="1"/>
    <n v="57114"/>
    <s v="recommended"/>
  </r>
  <r>
    <x v="142"/>
    <x v="13"/>
    <n v="48"/>
    <n v="6247"/>
    <n v="10"/>
    <n v="2012"/>
    <x v="0"/>
    <n v="62470"/>
    <s v="recommended"/>
  </r>
  <r>
    <x v="103"/>
    <x v="77"/>
    <n v="46"/>
    <n v="5594"/>
    <n v="5"/>
    <n v="2012"/>
    <x v="0"/>
    <n v="27970"/>
    <s v="recommended"/>
  </r>
  <r>
    <x v="16"/>
    <x v="11"/>
    <n v="4"/>
    <n v="5069"/>
    <n v="17"/>
    <n v="2012"/>
    <x v="1"/>
    <n v="86173"/>
    <s v="not recommended"/>
  </r>
  <r>
    <x v="110"/>
    <x v="82"/>
    <n v="44"/>
    <n v="4247"/>
    <n v="13"/>
    <n v="2012"/>
    <x v="1"/>
    <n v="55211"/>
    <s v="recommended"/>
  </r>
  <r>
    <x v="64"/>
    <x v="36"/>
    <n v="47"/>
    <n v="3477"/>
    <n v="28"/>
    <n v="2012"/>
    <x v="1"/>
    <n v="97356"/>
    <s v="recommended"/>
  </r>
  <r>
    <x v="27"/>
    <x v="20"/>
    <n v="45"/>
    <n v="3457"/>
    <n v="14"/>
    <n v="2012"/>
    <x v="1"/>
    <n v="48398"/>
    <s v="recommended"/>
  </r>
  <r>
    <x v="29"/>
    <x v="22"/>
    <n v="46"/>
    <n v="3207"/>
    <n v="6"/>
    <n v="2012"/>
    <x v="1"/>
    <n v="19242"/>
    <s v="recommended"/>
  </r>
  <r>
    <x v="114"/>
    <x v="86"/>
    <n v="46"/>
    <n v="3163"/>
    <n v="13"/>
    <n v="2012"/>
    <x v="1"/>
    <n v="41119"/>
    <s v="recommended"/>
  </r>
  <r>
    <x v="143"/>
    <x v="105"/>
    <n v="48"/>
    <n v="2876"/>
    <n v="21"/>
    <n v="2012"/>
    <x v="1"/>
    <n v="60396"/>
    <s v="recommended"/>
  </r>
  <r>
    <x v="144"/>
    <x v="106"/>
    <n v="46"/>
    <n v="2580"/>
    <n v="9"/>
    <n v="2012"/>
    <x v="1"/>
    <n v="23220"/>
    <s v="recommended"/>
  </r>
  <r>
    <x v="145"/>
    <x v="13"/>
    <n v="48"/>
    <n v="2091"/>
    <n v="12"/>
    <n v="2012"/>
    <x v="0"/>
    <n v="25092"/>
    <s v="recommended"/>
  </r>
  <r>
    <x v="146"/>
    <x v="107"/>
    <n v="45"/>
    <n v="1904"/>
    <n v="23"/>
    <n v="2012"/>
    <x v="1"/>
    <n v="43792"/>
    <s v="recommended"/>
  </r>
  <r>
    <x v="147"/>
    <x v="108"/>
    <n v="42"/>
    <n v="1789"/>
    <n v="14"/>
    <n v="2012"/>
    <x v="1"/>
    <n v="25046"/>
    <s v="recommended"/>
  </r>
  <r>
    <x v="148"/>
    <x v="62"/>
    <n v="48"/>
    <n v="1296"/>
    <n v="24"/>
    <n v="2012"/>
    <x v="1"/>
    <n v="31104"/>
    <s v="recommended"/>
  </r>
  <r>
    <x v="81"/>
    <x v="60"/>
    <n v="44"/>
    <n v="1201"/>
    <n v="40"/>
    <n v="2012"/>
    <x v="1"/>
    <n v="48040"/>
    <s v="recommended"/>
  </r>
  <r>
    <x v="121"/>
    <x v="90"/>
    <n v="4"/>
    <n v="57271"/>
    <n v="10"/>
    <n v="2013"/>
    <x v="0"/>
    <n v="572710"/>
    <s v="not recommended"/>
  </r>
  <r>
    <x v="122"/>
    <x v="91"/>
    <n v="47"/>
    <n v="50482"/>
    <n v="13"/>
    <n v="2013"/>
    <x v="0"/>
    <n v="656266"/>
    <s v="recommended"/>
  </r>
  <r>
    <x v="123"/>
    <x v="92"/>
    <n v="38"/>
    <n v="47265"/>
    <n v="14"/>
    <n v="2013"/>
    <x v="0"/>
    <n v="661710"/>
    <s v="not recommended"/>
  </r>
  <r>
    <x v="149"/>
    <x v="109"/>
    <n v="39"/>
    <n v="33844"/>
    <n v="20"/>
    <n v="2013"/>
    <x v="0"/>
    <n v="676880"/>
    <s v="not recommended"/>
  </r>
  <r>
    <x v="150"/>
    <x v="7"/>
    <n v="41"/>
    <n v="29651"/>
    <n v="14"/>
    <n v="2013"/>
    <x v="0"/>
    <n v="415114"/>
    <s v="recommended"/>
  </r>
  <r>
    <x v="151"/>
    <x v="110"/>
    <n v="46"/>
    <n v="27098"/>
    <n v="15"/>
    <n v="2013"/>
    <x v="0"/>
    <n v="406470"/>
    <s v="recommended"/>
  </r>
  <r>
    <x v="152"/>
    <x v="111"/>
    <n v="48"/>
    <n v="26234"/>
    <n v="0"/>
    <n v="2013"/>
    <x v="0"/>
    <n v="0"/>
    <s v="recommended"/>
  </r>
  <r>
    <x v="153"/>
    <x v="112"/>
    <n v="47"/>
    <n v="23308"/>
    <n v="6"/>
    <n v="2013"/>
    <x v="1"/>
    <n v="139848"/>
    <s v="recommended"/>
  </r>
  <r>
    <x v="154"/>
    <x v="113"/>
    <n v="46"/>
    <n v="23148"/>
    <n v="6"/>
    <n v="2013"/>
    <x v="0"/>
    <n v="138888"/>
    <s v="recommended"/>
  </r>
  <r>
    <x v="155"/>
    <x v="46"/>
    <n v="45"/>
    <n v="23114"/>
    <n v="18"/>
    <n v="2013"/>
    <x v="0"/>
    <n v="416052"/>
    <s v="recommended"/>
  </r>
  <r>
    <x v="125"/>
    <x v="93"/>
    <n v="49"/>
    <n v="21834"/>
    <n v="8"/>
    <n v="2013"/>
    <x v="0"/>
    <n v="174672"/>
    <s v="recommended"/>
  </r>
  <r>
    <x v="156"/>
    <x v="114"/>
    <n v="48"/>
    <n v="21625"/>
    <n v="9"/>
    <n v="2013"/>
    <x v="0"/>
    <n v="194625"/>
    <s v="recommended"/>
  </r>
  <r>
    <x v="91"/>
    <x v="67"/>
    <n v="49"/>
    <n v="19576"/>
    <n v="8"/>
    <n v="2013"/>
    <x v="1"/>
    <n v="156608"/>
    <s v="recommended"/>
  </r>
  <r>
    <x v="157"/>
    <x v="115"/>
    <n v="49"/>
    <n v="19546"/>
    <n v="5"/>
    <n v="2013"/>
    <x v="0"/>
    <n v="97730"/>
    <s v="recommended"/>
  </r>
  <r>
    <x v="158"/>
    <x v="10"/>
    <n v="47"/>
    <n v="15845"/>
    <n v="13"/>
    <n v="2013"/>
    <x v="0"/>
    <n v="205985"/>
    <s v="recommended"/>
  </r>
  <r>
    <x v="130"/>
    <x v="95"/>
    <n v="43"/>
    <n v="13616"/>
    <n v="10"/>
    <n v="2013"/>
    <x v="1"/>
    <n v="136160"/>
    <s v="recommended"/>
  </r>
  <r>
    <x v="159"/>
    <x v="116"/>
    <n v="43"/>
    <n v="12159"/>
    <n v="13"/>
    <n v="2013"/>
    <x v="0"/>
    <n v="158067"/>
    <s v="recommended"/>
  </r>
  <r>
    <x v="131"/>
    <x v="96"/>
    <n v="44"/>
    <n v="11616"/>
    <n v="7"/>
    <n v="2013"/>
    <x v="0"/>
    <n v="81312"/>
    <s v="recommended"/>
  </r>
  <r>
    <x v="160"/>
    <x v="72"/>
    <n v="45"/>
    <n v="11391"/>
    <n v="12"/>
    <n v="2013"/>
    <x v="1"/>
    <n v="136692"/>
    <s v="recommended"/>
  </r>
  <r>
    <x v="135"/>
    <x v="100"/>
    <n v="46"/>
    <n v="10009"/>
    <n v="7"/>
    <n v="2013"/>
    <x v="1"/>
    <n v="70063"/>
    <s v="recommended"/>
  </r>
  <r>
    <x v="7"/>
    <x v="6"/>
    <n v="46"/>
    <n v="9325"/>
    <n v="24"/>
    <n v="2013"/>
    <x v="1"/>
    <n v="223800"/>
    <s v="recommended"/>
  </r>
  <r>
    <x v="161"/>
    <x v="117"/>
    <n v="48"/>
    <n v="8922"/>
    <n v="9"/>
    <n v="2013"/>
    <x v="0"/>
    <n v="80298"/>
    <s v="recommended"/>
  </r>
  <r>
    <x v="10"/>
    <x v="9"/>
    <n v="45"/>
    <n v="8580"/>
    <n v="46"/>
    <n v="2013"/>
    <x v="1"/>
    <n v="394680"/>
    <s v="recommended"/>
  </r>
  <r>
    <x v="139"/>
    <x v="103"/>
    <n v="44"/>
    <n v="7497"/>
    <n v="6"/>
    <n v="2013"/>
    <x v="1"/>
    <n v="44982"/>
    <s v="recommended"/>
  </r>
  <r>
    <x v="162"/>
    <x v="118"/>
    <n v="49"/>
    <n v="7150"/>
    <n v="12"/>
    <n v="2013"/>
    <x v="0"/>
    <n v="85800"/>
    <s v="recommended"/>
  </r>
  <r>
    <x v="140"/>
    <x v="104"/>
    <n v="49"/>
    <n v="7038"/>
    <n v="7"/>
    <n v="2013"/>
    <x v="0"/>
    <n v="49266"/>
    <s v="recommended"/>
  </r>
  <r>
    <x v="163"/>
    <x v="119"/>
    <n v="47"/>
    <n v="7034"/>
    <n v="15"/>
    <n v="2013"/>
    <x v="1"/>
    <n v="105510"/>
    <s v="recommended"/>
  </r>
  <r>
    <x v="164"/>
    <x v="120"/>
    <n v="46"/>
    <n v="6990"/>
    <n v="4"/>
    <n v="2013"/>
    <x v="1"/>
    <n v="27960"/>
    <s v="recommended"/>
  </r>
  <r>
    <x v="165"/>
    <x v="13"/>
    <n v="48"/>
    <n v="6982"/>
    <n v="14"/>
    <n v="2013"/>
    <x v="0"/>
    <n v="97748"/>
    <s v="recommended"/>
  </r>
  <r>
    <x v="166"/>
    <x v="16"/>
    <n v="48"/>
    <n v="6812"/>
    <n v="0"/>
    <n v="2013"/>
    <x v="0"/>
    <n v="0"/>
    <s v="recommended"/>
  </r>
  <r>
    <x v="167"/>
    <x v="121"/>
    <n v="45"/>
    <n v="6679"/>
    <n v="105"/>
    <n v="2013"/>
    <x v="1"/>
    <n v="701295"/>
    <s v="recommended"/>
  </r>
  <r>
    <x v="168"/>
    <x v="110"/>
    <n v="39"/>
    <n v="6310"/>
    <n v="13"/>
    <n v="2013"/>
    <x v="0"/>
    <n v="82030"/>
    <s v="not recommended"/>
  </r>
  <r>
    <x v="169"/>
    <x v="122"/>
    <n v="45"/>
    <n v="6132"/>
    <n v="13"/>
    <n v="2013"/>
    <x v="1"/>
    <n v="79716"/>
    <s v="recommended"/>
  </r>
  <r>
    <x v="103"/>
    <x v="77"/>
    <n v="46"/>
    <n v="5594"/>
    <n v="5"/>
    <n v="2013"/>
    <x v="0"/>
    <n v="27970"/>
    <s v="recommended"/>
  </r>
  <r>
    <x v="170"/>
    <x v="123"/>
    <n v="49"/>
    <n v="5396"/>
    <n v="20"/>
    <n v="2013"/>
    <x v="0"/>
    <n v="107920"/>
    <s v="recommended"/>
  </r>
  <r>
    <x v="16"/>
    <x v="11"/>
    <n v="4"/>
    <n v="5069"/>
    <n v="17"/>
    <n v="2013"/>
    <x v="1"/>
    <n v="86173"/>
    <s v="not recommended"/>
  </r>
  <r>
    <x v="171"/>
    <x v="124"/>
    <n v="47"/>
    <n v="4896"/>
    <n v="17"/>
    <n v="2013"/>
    <x v="1"/>
    <n v="83232"/>
    <s v="recommended"/>
  </r>
  <r>
    <x v="172"/>
    <x v="125"/>
    <n v="46"/>
    <n v="4799"/>
    <n v="16"/>
    <n v="2013"/>
    <x v="1"/>
    <n v="76784"/>
    <s v="recommended"/>
  </r>
  <r>
    <x v="173"/>
    <x v="10"/>
    <n v="45"/>
    <n v="4748"/>
    <n v="12"/>
    <n v="2013"/>
    <x v="0"/>
    <n v="56976"/>
    <s v="recommended"/>
  </r>
  <r>
    <x v="174"/>
    <x v="4"/>
    <n v="44"/>
    <n v="4642"/>
    <n v="13"/>
    <n v="2013"/>
    <x v="1"/>
    <n v="60346"/>
    <s v="recommended"/>
  </r>
  <r>
    <x v="175"/>
    <x v="126"/>
    <n v="48"/>
    <n v="4148"/>
    <n v="11"/>
    <n v="2013"/>
    <x v="1"/>
    <n v="45628"/>
    <s v="recommended"/>
  </r>
  <r>
    <x v="176"/>
    <x v="120"/>
    <n v="45"/>
    <n v="3673"/>
    <n v="4"/>
    <n v="2013"/>
    <x v="1"/>
    <n v="14692"/>
    <s v="recommended"/>
  </r>
  <r>
    <x v="177"/>
    <x v="127"/>
    <n v="48"/>
    <n v="3490"/>
    <n v="15"/>
    <n v="2013"/>
    <x v="1"/>
    <n v="52350"/>
    <s v="recommended"/>
  </r>
  <r>
    <x v="64"/>
    <x v="36"/>
    <n v="47"/>
    <n v="3477"/>
    <n v="28"/>
    <n v="2013"/>
    <x v="1"/>
    <n v="97356"/>
    <s v="recommended"/>
  </r>
  <r>
    <x v="29"/>
    <x v="22"/>
    <n v="46"/>
    <n v="3207"/>
    <n v="6"/>
    <n v="2013"/>
    <x v="1"/>
    <n v="19242"/>
    <s v="recommended"/>
  </r>
  <r>
    <x v="178"/>
    <x v="105"/>
    <n v="48"/>
    <n v="2663"/>
    <n v="17"/>
    <n v="2013"/>
    <x v="1"/>
    <n v="45271"/>
    <s v="recommended"/>
  </r>
  <r>
    <x v="179"/>
    <x v="128"/>
    <n v="41"/>
    <n v="2272"/>
    <n v="6"/>
    <n v="2013"/>
    <x v="1"/>
    <n v="13632"/>
    <s v="recommended"/>
  </r>
  <r>
    <x v="180"/>
    <x v="129"/>
    <n v="48"/>
    <n v="1329"/>
    <n v="10"/>
    <n v="2013"/>
    <x v="1"/>
    <n v="13290"/>
    <s v="recommended"/>
  </r>
  <r>
    <x v="81"/>
    <x v="60"/>
    <n v="44"/>
    <n v="1201"/>
    <n v="40"/>
    <n v="2013"/>
    <x v="1"/>
    <n v="48040"/>
    <s v="recommended"/>
  </r>
  <r>
    <x v="181"/>
    <x v="38"/>
    <n v="46"/>
    <n v="220"/>
    <n v="17"/>
    <n v="2013"/>
    <x v="1"/>
    <n v="3740"/>
    <s v="recommended"/>
  </r>
  <r>
    <x v="121"/>
    <x v="90"/>
    <n v="4"/>
    <n v="57271"/>
    <n v="9"/>
    <n v="2014"/>
    <x v="0"/>
    <n v="515439"/>
    <s v="not recommended"/>
  </r>
  <r>
    <x v="122"/>
    <x v="91"/>
    <n v="47"/>
    <n v="50482"/>
    <n v="7"/>
    <n v="2014"/>
    <x v="0"/>
    <n v="353374"/>
    <s v="recommended"/>
  </r>
  <r>
    <x v="122"/>
    <x v="91"/>
    <n v="47"/>
    <n v="50482"/>
    <n v="13"/>
    <n v="2014"/>
    <x v="0"/>
    <n v="656266"/>
    <s v="recommended"/>
  </r>
  <r>
    <x v="182"/>
    <x v="130"/>
    <n v="46"/>
    <n v="36348"/>
    <n v="14"/>
    <n v="2014"/>
    <x v="0"/>
    <n v="508872"/>
    <s v="recommended"/>
  </r>
  <r>
    <x v="183"/>
    <x v="131"/>
    <n v="47"/>
    <n v="35799"/>
    <n v="39"/>
    <n v="2014"/>
    <x v="0"/>
    <n v="1396161"/>
    <s v="recommended"/>
  </r>
  <r>
    <x v="149"/>
    <x v="109"/>
    <n v="39"/>
    <n v="33844"/>
    <n v="20"/>
    <n v="2014"/>
    <x v="0"/>
    <n v="676880"/>
    <s v="not recommended"/>
  </r>
  <r>
    <x v="51"/>
    <x v="40"/>
    <n v="48"/>
    <n v="29673"/>
    <n v="13"/>
    <n v="2014"/>
    <x v="1"/>
    <n v="385749"/>
    <s v="recommended"/>
  </r>
  <r>
    <x v="51"/>
    <x v="40"/>
    <n v="48"/>
    <n v="29673"/>
    <n v="16"/>
    <n v="2014"/>
    <x v="1"/>
    <n v="474768"/>
    <s v="recommended"/>
  </r>
  <r>
    <x v="151"/>
    <x v="110"/>
    <n v="46"/>
    <n v="27098"/>
    <n v="15"/>
    <n v="2014"/>
    <x v="0"/>
    <n v="406470"/>
    <s v="recommended"/>
  </r>
  <r>
    <x v="152"/>
    <x v="111"/>
    <n v="48"/>
    <n v="26234"/>
    <n v="0"/>
    <n v="2014"/>
    <x v="0"/>
    <n v="0"/>
    <s v="recommended"/>
  </r>
  <r>
    <x v="184"/>
    <x v="132"/>
    <n v="47"/>
    <n v="25001"/>
    <n v="11"/>
    <n v="2014"/>
    <x v="1"/>
    <n v="275011"/>
    <s v="recommended"/>
  </r>
  <r>
    <x v="185"/>
    <x v="133"/>
    <n v="48"/>
    <n v="23358"/>
    <n v="12"/>
    <n v="2014"/>
    <x v="1"/>
    <n v="280296"/>
    <s v="recommended"/>
  </r>
  <r>
    <x v="154"/>
    <x v="113"/>
    <n v="46"/>
    <n v="23148"/>
    <n v="6"/>
    <n v="2014"/>
    <x v="0"/>
    <n v="138888"/>
    <s v="recommended"/>
  </r>
  <r>
    <x v="186"/>
    <x v="134"/>
    <n v="46"/>
    <n v="21930"/>
    <n v="11"/>
    <n v="2014"/>
    <x v="0"/>
    <n v="241230"/>
    <s v="recommended"/>
  </r>
  <r>
    <x v="125"/>
    <x v="93"/>
    <n v="49"/>
    <n v="21834"/>
    <n v="8"/>
    <n v="2014"/>
    <x v="0"/>
    <n v="174672"/>
    <s v="recommended"/>
  </r>
  <r>
    <x v="156"/>
    <x v="114"/>
    <n v="48"/>
    <n v="21625"/>
    <n v="9"/>
    <n v="2014"/>
    <x v="0"/>
    <n v="194625"/>
    <s v="recommended"/>
  </r>
  <r>
    <x v="187"/>
    <x v="69"/>
    <n v="47"/>
    <n v="19735"/>
    <n v="30"/>
    <n v="2014"/>
    <x v="0"/>
    <n v="592050"/>
    <s v="recommended"/>
  </r>
  <r>
    <x v="91"/>
    <x v="67"/>
    <n v="49"/>
    <n v="19576"/>
    <n v="8"/>
    <n v="2014"/>
    <x v="1"/>
    <n v="156608"/>
    <s v="recommended"/>
  </r>
  <r>
    <x v="157"/>
    <x v="115"/>
    <n v="49"/>
    <n v="19546"/>
    <n v="5"/>
    <n v="2014"/>
    <x v="0"/>
    <n v="97730"/>
    <s v="recommended"/>
  </r>
  <r>
    <x v="188"/>
    <x v="135"/>
    <n v="48"/>
    <n v="18613"/>
    <n v="5"/>
    <n v="2014"/>
    <x v="0"/>
    <n v="93065"/>
    <s v="recommended"/>
  </r>
  <r>
    <x v="189"/>
    <x v="110"/>
    <n v="45"/>
    <n v="17684"/>
    <n v="6"/>
    <n v="2014"/>
    <x v="0"/>
    <n v="106104"/>
    <s v="recommended"/>
  </r>
  <r>
    <x v="190"/>
    <x v="136"/>
    <n v="47"/>
    <n v="17323"/>
    <n v="4"/>
    <n v="2014"/>
    <x v="1"/>
    <n v="69292"/>
    <s v="recommended"/>
  </r>
  <r>
    <x v="131"/>
    <x v="96"/>
    <n v="44"/>
    <n v="11616"/>
    <n v="7"/>
    <n v="2014"/>
    <x v="0"/>
    <n v="81312"/>
    <s v="recommended"/>
  </r>
  <r>
    <x v="191"/>
    <x v="137"/>
    <n v="46"/>
    <n v="11128"/>
    <n v="23"/>
    <n v="2014"/>
    <x v="1"/>
    <n v="255944"/>
    <s v="recommended"/>
  </r>
  <r>
    <x v="192"/>
    <x v="72"/>
    <n v="46"/>
    <n v="10927"/>
    <n v="6"/>
    <n v="2014"/>
    <x v="1"/>
    <n v="65562"/>
    <s v="recommended"/>
  </r>
  <r>
    <x v="193"/>
    <x v="138"/>
    <n v="45"/>
    <n v="10101"/>
    <n v="8"/>
    <n v="2014"/>
    <x v="0"/>
    <n v="80808"/>
    <s v="recommended"/>
  </r>
  <r>
    <x v="194"/>
    <x v="139"/>
    <n v="47"/>
    <n v="9292"/>
    <n v="17"/>
    <n v="2014"/>
    <x v="1"/>
    <n v="157964"/>
    <s v="recommended"/>
  </r>
  <r>
    <x v="161"/>
    <x v="117"/>
    <n v="48"/>
    <n v="8922"/>
    <n v="9"/>
    <n v="2014"/>
    <x v="0"/>
    <n v="80298"/>
    <s v="recommended"/>
  </r>
  <r>
    <x v="10"/>
    <x v="9"/>
    <n v="45"/>
    <n v="8580"/>
    <n v="46"/>
    <n v="2014"/>
    <x v="1"/>
    <n v="394680"/>
    <s v="recommended"/>
  </r>
  <r>
    <x v="195"/>
    <x v="91"/>
    <n v="45"/>
    <n v="8491"/>
    <n v="7"/>
    <n v="2014"/>
    <x v="0"/>
    <n v="59437"/>
    <s v="recommended"/>
  </r>
  <r>
    <x v="196"/>
    <x v="140"/>
    <n v="48"/>
    <n v="8081"/>
    <n v="8"/>
    <n v="2014"/>
    <x v="0"/>
    <n v="64648"/>
    <s v="recommended"/>
  </r>
  <r>
    <x v="197"/>
    <x v="141"/>
    <n v="43"/>
    <n v="7153"/>
    <n v="9"/>
    <n v="2014"/>
    <x v="0"/>
    <n v="64377"/>
    <s v="recommended"/>
  </r>
  <r>
    <x v="164"/>
    <x v="120"/>
    <n v="46"/>
    <n v="6990"/>
    <n v="4"/>
    <n v="2014"/>
    <x v="1"/>
    <n v="27960"/>
    <s v="recommended"/>
  </r>
  <r>
    <x v="167"/>
    <x v="121"/>
    <n v="45"/>
    <n v="6679"/>
    <n v="105"/>
    <n v="2014"/>
    <x v="1"/>
    <n v="701295"/>
    <s v="recommended"/>
  </r>
  <r>
    <x v="198"/>
    <x v="13"/>
    <n v="48"/>
    <n v="6600"/>
    <n v="11"/>
    <n v="2014"/>
    <x v="0"/>
    <n v="72600"/>
    <s v="recommended"/>
  </r>
  <r>
    <x v="199"/>
    <x v="16"/>
    <n v="48"/>
    <n v="6540"/>
    <n v="22"/>
    <n v="2014"/>
    <x v="0"/>
    <n v="143880"/>
    <s v="recommended"/>
  </r>
  <r>
    <x v="200"/>
    <x v="142"/>
    <n v="46"/>
    <n v="5972"/>
    <n v="10"/>
    <n v="2014"/>
    <x v="1"/>
    <n v="59720"/>
    <s v="recommended"/>
  </r>
  <r>
    <x v="201"/>
    <x v="143"/>
    <n v="46"/>
    <n v="5542"/>
    <n v="10"/>
    <n v="2014"/>
    <x v="1"/>
    <n v="55420"/>
    <s v="recommended"/>
  </r>
  <r>
    <x v="16"/>
    <x v="11"/>
    <n v="4"/>
    <n v="5069"/>
    <n v="17"/>
    <n v="2014"/>
    <x v="1"/>
    <n v="86173"/>
    <s v="not recommended"/>
  </r>
  <r>
    <x v="202"/>
    <x v="118"/>
    <n v="49"/>
    <n v="3836"/>
    <n v="12"/>
    <n v="2014"/>
    <x v="0"/>
    <n v="46032"/>
    <s v="recommended"/>
  </r>
  <r>
    <x v="176"/>
    <x v="120"/>
    <n v="45"/>
    <n v="3673"/>
    <n v="4"/>
    <n v="2014"/>
    <x v="1"/>
    <n v="14692"/>
    <s v="recommended"/>
  </r>
  <r>
    <x v="203"/>
    <x v="144"/>
    <n v="47"/>
    <n v="3642"/>
    <n v="0"/>
    <n v="2014"/>
    <x v="0"/>
    <n v="0"/>
    <s v="recommended"/>
  </r>
  <r>
    <x v="177"/>
    <x v="127"/>
    <n v="48"/>
    <n v="3490"/>
    <n v="15"/>
    <n v="2014"/>
    <x v="1"/>
    <n v="52350"/>
    <s v="recommended"/>
  </r>
  <r>
    <x v="64"/>
    <x v="36"/>
    <n v="47"/>
    <n v="3477"/>
    <n v="28"/>
    <n v="2014"/>
    <x v="1"/>
    <n v="97356"/>
    <s v="recommended"/>
  </r>
  <r>
    <x v="204"/>
    <x v="145"/>
    <n v="45"/>
    <n v="2884"/>
    <n v="28"/>
    <n v="2014"/>
    <x v="1"/>
    <n v="80752"/>
    <s v="recommended"/>
  </r>
  <r>
    <x v="205"/>
    <x v="146"/>
    <n v="45"/>
    <n v="2586"/>
    <n v="5"/>
    <n v="2014"/>
    <x v="0"/>
    <n v="12930"/>
    <s v="recommended"/>
  </r>
  <r>
    <x v="206"/>
    <x v="147"/>
    <n v="49"/>
    <n v="1884"/>
    <n v="0"/>
    <n v="2014"/>
    <x v="0"/>
    <n v="0"/>
    <s v="recommended"/>
  </r>
  <r>
    <x v="207"/>
    <x v="62"/>
    <n v="45"/>
    <n v="1386"/>
    <n v="20"/>
    <n v="2014"/>
    <x v="1"/>
    <n v="27720"/>
    <s v="recommended"/>
  </r>
  <r>
    <x v="81"/>
    <x v="60"/>
    <n v="44"/>
    <n v="1201"/>
    <n v="40"/>
    <n v="2014"/>
    <x v="1"/>
    <n v="48040"/>
    <s v="recommended"/>
  </r>
  <r>
    <x v="208"/>
    <x v="144"/>
    <n v="46"/>
    <n v="978"/>
    <n v="0"/>
    <n v="2014"/>
    <x v="0"/>
    <n v="0"/>
    <s v="recommended"/>
  </r>
  <r>
    <x v="209"/>
    <x v="148"/>
    <n v="41"/>
    <n v="79446"/>
    <n v="18"/>
    <n v="2015"/>
    <x v="0"/>
    <n v="1430028"/>
    <s v="recommended"/>
  </r>
  <r>
    <x v="210"/>
    <x v="149"/>
    <n v="48"/>
    <n v="49288"/>
    <n v="11"/>
    <n v="2015"/>
    <x v="0"/>
    <n v="542168"/>
    <s v="recommended"/>
  </r>
  <r>
    <x v="211"/>
    <x v="150"/>
    <n v="47"/>
    <n v="39459"/>
    <n v="9"/>
    <n v="2015"/>
    <x v="0"/>
    <n v="355131"/>
    <s v="recommended"/>
  </r>
  <r>
    <x v="182"/>
    <x v="130"/>
    <n v="46"/>
    <n v="36348"/>
    <n v="14"/>
    <n v="2015"/>
    <x v="0"/>
    <n v="508872"/>
    <s v="recommended"/>
  </r>
  <r>
    <x v="152"/>
    <x v="111"/>
    <n v="48"/>
    <n v="26234"/>
    <n v="0"/>
    <n v="2015"/>
    <x v="0"/>
    <n v="0"/>
    <s v="recommended"/>
  </r>
  <r>
    <x v="212"/>
    <x v="92"/>
    <n v="44"/>
    <n v="25624"/>
    <n v="14"/>
    <n v="2015"/>
    <x v="0"/>
    <n v="358736"/>
    <s v="recommended"/>
  </r>
  <r>
    <x v="64"/>
    <x v="36"/>
    <n v="48"/>
    <n v="25554"/>
    <n v="8"/>
    <n v="2015"/>
    <x v="1"/>
    <n v="204432"/>
    <s v="recommended"/>
  </r>
  <r>
    <x v="184"/>
    <x v="132"/>
    <n v="47"/>
    <n v="25001"/>
    <n v="11"/>
    <n v="2015"/>
    <x v="1"/>
    <n v="275011"/>
    <s v="recommended"/>
  </r>
  <r>
    <x v="185"/>
    <x v="133"/>
    <n v="48"/>
    <n v="23358"/>
    <n v="12"/>
    <n v="2015"/>
    <x v="1"/>
    <n v="280296"/>
    <s v="recommended"/>
  </r>
  <r>
    <x v="153"/>
    <x v="112"/>
    <n v="47"/>
    <n v="23308"/>
    <n v="6"/>
    <n v="2015"/>
    <x v="1"/>
    <n v="139848"/>
    <s v="recommended"/>
  </r>
  <r>
    <x v="213"/>
    <x v="151"/>
    <n v="45"/>
    <n v="22641"/>
    <n v="11"/>
    <n v="2015"/>
    <x v="1"/>
    <n v="249051"/>
    <s v="recommended"/>
  </r>
  <r>
    <x v="125"/>
    <x v="93"/>
    <n v="49"/>
    <n v="21834"/>
    <n v="8"/>
    <n v="2015"/>
    <x v="0"/>
    <n v="174672"/>
    <s v="recommended"/>
  </r>
  <r>
    <x v="156"/>
    <x v="114"/>
    <n v="48"/>
    <n v="21625"/>
    <n v="9"/>
    <n v="2015"/>
    <x v="0"/>
    <n v="194625"/>
    <s v="recommended"/>
  </r>
  <r>
    <x v="91"/>
    <x v="67"/>
    <n v="49"/>
    <n v="19576"/>
    <n v="8"/>
    <n v="2015"/>
    <x v="1"/>
    <n v="156608"/>
    <s v="recommended"/>
  </r>
  <r>
    <x v="157"/>
    <x v="115"/>
    <n v="49"/>
    <n v="19546"/>
    <n v="5"/>
    <n v="2015"/>
    <x v="0"/>
    <n v="97730"/>
    <s v="recommended"/>
  </r>
  <r>
    <x v="188"/>
    <x v="135"/>
    <n v="48"/>
    <n v="18613"/>
    <n v="5"/>
    <n v="2015"/>
    <x v="0"/>
    <n v="93065"/>
    <s v="recommended"/>
  </r>
  <r>
    <x v="190"/>
    <x v="136"/>
    <n v="47"/>
    <n v="17323"/>
    <n v="4"/>
    <n v="2015"/>
    <x v="1"/>
    <n v="69292"/>
    <s v="recommended"/>
  </r>
  <r>
    <x v="214"/>
    <x v="152"/>
    <n v="46"/>
    <n v="15921"/>
    <n v="9"/>
    <n v="2015"/>
    <x v="1"/>
    <n v="143289"/>
    <s v="recommended"/>
  </r>
  <r>
    <x v="215"/>
    <x v="111"/>
    <n v="36"/>
    <n v="14982"/>
    <n v="19"/>
    <n v="2015"/>
    <x v="0"/>
    <n v="284658"/>
    <s v="not recommended"/>
  </r>
  <r>
    <x v="216"/>
    <x v="153"/>
    <n v="48"/>
    <n v="14038"/>
    <n v="4"/>
    <n v="2015"/>
    <x v="0"/>
    <n v="56152"/>
    <s v="recommended"/>
  </r>
  <r>
    <x v="191"/>
    <x v="137"/>
    <n v="46"/>
    <n v="11128"/>
    <n v="23"/>
    <n v="2015"/>
    <x v="1"/>
    <n v="255944"/>
    <s v="recommended"/>
  </r>
  <r>
    <x v="217"/>
    <x v="154"/>
    <n v="48"/>
    <n v="11113"/>
    <n v="15"/>
    <n v="2015"/>
    <x v="1"/>
    <n v="166695"/>
    <s v="recommended"/>
  </r>
  <r>
    <x v="218"/>
    <x v="155"/>
    <n v="48"/>
    <n v="10922"/>
    <n v="5"/>
    <n v="2015"/>
    <x v="0"/>
    <n v="54610"/>
    <s v="recommended"/>
  </r>
  <r>
    <x v="219"/>
    <x v="156"/>
    <n v="47"/>
    <n v="10070"/>
    <n v="13"/>
    <n v="2015"/>
    <x v="1"/>
    <n v="130910"/>
    <s v="recommended"/>
  </r>
  <r>
    <x v="220"/>
    <x v="157"/>
    <n v="47"/>
    <n v="9366"/>
    <n v="9"/>
    <n v="2015"/>
    <x v="1"/>
    <n v="84294"/>
    <s v="recommended"/>
  </r>
  <r>
    <x v="161"/>
    <x v="117"/>
    <n v="48"/>
    <n v="8922"/>
    <n v="9"/>
    <n v="2015"/>
    <x v="0"/>
    <n v="80298"/>
    <s v="recommended"/>
  </r>
  <r>
    <x v="10"/>
    <x v="9"/>
    <n v="45"/>
    <n v="8580"/>
    <n v="46"/>
    <n v="2015"/>
    <x v="1"/>
    <n v="394680"/>
    <s v="recommended"/>
  </r>
  <r>
    <x v="196"/>
    <x v="140"/>
    <n v="48"/>
    <n v="8081"/>
    <n v="8"/>
    <n v="2015"/>
    <x v="0"/>
    <n v="64648"/>
    <s v="recommended"/>
  </r>
  <r>
    <x v="221"/>
    <x v="158"/>
    <n v="46"/>
    <n v="7508"/>
    <n v="16"/>
    <n v="2015"/>
    <x v="1"/>
    <n v="120128"/>
    <s v="recommended"/>
  </r>
  <r>
    <x v="164"/>
    <x v="120"/>
    <n v="46"/>
    <n v="6990"/>
    <n v="4"/>
    <n v="2015"/>
    <x v="1"/>
    <n v="27960"/>
    <s v="recommended"/>
  </r>
  <r>
    <x v="222"/>
    <x v="16"/>
    <n v="48"/>
    <n v="6169"/>
    <n v="7"/>
    <n v="2015"/>
    <x v="0"/>
    <n v="43183"/>
    <s v="recommended"/>
  </r>
  <r>
    <x v="223"/>
    <x v="159"/>
    <n v="47"/>
    <n v="6169"/>
    <n v="16"/>
    <n v="2015"/>
    <x v="1"/>
    <n v="98704"/>
    <s v="recommended"/>
  </r>
  <r>
    <x v="201"/>
    <x v="143"/>
    <n v="46"/>
    <n v="5542"/>
    <n v="10"/>
    <n v="2015"/>
    <x v="1"/>
    <n v="55420"/>
    <s v="recommended"/>
  </r>
  <r>
    <x v="224"/>
    <x v="157"/>
    <n v="47"/>
    <n v="5413"/>
    <n v="9"/>
    <n v="2015"/>
    <x v="1"/>
    <n v="48717"/>
    <s v="recommended"/>
  </r>
  <r>
    <x v="225"/>
    <x v="146"/>
    <n v="46"/>
    <n v="5360"/>
    <n v="5"/>
    <n v="2015"/>
    <x v="1"/>
    <n v="26800"/>
    <s v="recommended"/>
  </r>
  <r>
    <x v="226"/>
    <x v="72"/>
    <n v="46"/>
    <n v="5235"/>
    <n v="5"/>
    <n v="2015"/>
    <x v="1"/>
    <n v="26175"/>
    <s v="recommended"/>
  </r>
  <r>
    <x v="16"/>
    <x v="11"/>
    <n v="4"/>
    <n v="5069"/>
    <n v="17"/>
    <n v="2015"/>
    <x v="1"/>
    <n v="86173"/>
    <s v="not recommended"/>
  </r>
  <r>
    <x v="7"/>
    <x v="6"/>
    <n v="47"/>
    <n v="4725"/>
    <n v="16"/>
    <n v="2015"/>
    <x v="1"/>
    <n v="75600"/>
    <s v="recommended"/>
  </r>
  <r>
    <x v="227"/>
    <x v="160"/>
    <n v="48"/>
    <n v="4022"/>
    <n v="4"/>
    <n v="2015"/>
    <x v="1"/>
    <n v="16088"/>
    <s v="recommended"/>
  </r>
  <r>
    <x v="228"/>
    <x v="160"/>
    <n v="48"/>
    <n v="3871"/>
    <n v="5"/>
    <n v="2015"/>
    <x v="1"/>
    <n v="19355"/>
    <s v="recommended"/>
  </r>
  <r>
    <x v="176"/>
    <x v="120"/>
    <n v="45"/>
    <n v="3673"/>
    <n v="4"/>
    <n v="2015"/>
    <x v="1"/>
    <n v="14692"/>
    <s v="recommended"/>
  </r>
  <r>
    <x v="229"/>
    <x v="161"/>
    <n v="47"/>
    <n v="3564"/>
    <n v="9"/>
    <n v="2015"/>
    <x v="1"/>
    <n v="32076"/>
    <s v="recommended"/>
  </r>
  <r>
    <x v="230"/>
    <x v="105"/>
    <n v="48"/>
    <n v="3428"/>
    <n v="14"/>
    <n v="2015"/>
    <x v="1"/>
    <n v="47992"/>
    <s v="recommended"/>
  </r>
  <r>
    <x v="231"/>
    <x v="162"/>
    <n v="44"/>
    <n v="2951"/>
    <n v="6"/>
    <n v="2015"/>
    <x v="1"/>
    <n v="17706"/>
    <s v="recommended"/>
  </r>
  <r>
    <x v="232"/>
    <x v="162"/>
    <n v="46"/>
    <n v="2925"/>
    <n v="6"/>
    <n v="2015"/>
    <x v="1"/>
    <n v="17550"/>
    <s v="recommended"/>
  </r>
  <r>
    <x v="233"/>
    <x v="127"/>
    <n v="49"/>
    <n v="2812"/>
    <n v="17"/>
    <n v="2015"/>
    <x v="1"/>
    <n v="47804"/>
    <s v="recommended"/>
  </r>
  <r>
    <x v="234"/>
    <x v="163"/>
    <n v="45"/>
    <n v="2426"/>
    <n v="8"/>
    <n v="2015"/>
    <x v="1"/>
    <n v="19408"/>
    <s v="recommended"/>
  </r>
  <r>
    <x v="235"/>
    <x v="164"/>
    <n v="46"/>
    <n v="2134"/>
    <n v="5"/>
    <n v="2015"/>
    <x v="1"/>
    <n v="10670"/>
    <s v="recommended"/>
  </r>
  <r>
    <x v="236"/>
    <x v="165"/>
    <n v="46"/>
    <n v="1909"/>
    <n v="11"/>
    <n v="2015"/>
    <x v="1"/>
    <n v="20999"/>
    <s v="recommended"/>
  </r>
  <r>
    <x v="237"/>
    <x v="93"/>
    <n v="47"/>
    <n v="1873"/>
    <n v="14"/>
    <n v="2015"/>
    <x v="0"/>
    <n v="26222"/>
    <s v="recommended"/>
  </r>
  <r>
    <x v="209"/>
    <x v="148"/>
    <n v="41"/>
    <n v="79446"/>
    <n v="7"/>
    <n v="2016"/>
    <x v="0"/>
    <n v="556122"/>
    <s v="recommended"/>
  </r>
  <r>
    <x v="210"/>
    <x v="149"/>
    <n v="48"/>
    <n v="49288"/>
    <n v="11"/>
    <n v="2016"/>
    <x v="0"/>
    <n v="542168"/>
    <s v="recommended"/>
  </r>
  <r>
    <x v="152"/>
    <x v="111"/>
    <n v="48"/>
    <n v="26234"/>
    <n v="0"/>
    <n v="2016"/>
    <x v="0"/>
    <n v="0"/>
    <s v="recommended"/>
  </r>
  <r>
    <x v="64"/>
    <x v="36"/>
    <n v="48"/>
    <n v="25554"/>
    <n v="8"/>
    <n v="2016"/>
    <x v="1"/>
    <n v="204432"/>
    <s v="recommended"/>
  </r>
  <r>
    <x v="184"/>
    <x v="132"/>
    <n v="47"/>
    <n v="25001"/>
    <n v="11"/>
    <n v="2016"/>
    <x v="1"/>
    <n v="275011"/>
    <s v="recommended"/>
  </r>
  <r>
    <x v="238"/>
    <x v="101"/>
    <n v="4"/>
    <n v="23973"/>
    <n v="12"/>
    <n v="2016"/>
    <x v="0"/>
    <n v="287676"/>
    <s v="not recommended"/>
  </r>
  <r>
    <x v="239"/>
    <x v="166"/>
    <n v="46"/>
    <n v="23848"/>
    <n v="8"/>
    <n v="2016"/>
    <x v="0"/>
    <n v="190784"/>
    <s v="recommended"/>
  </r>
  <r>
    <x v="153"/>
    <x v="112"/>
    <n v="47"/>
    <n v="23308"/>
    <n v="6"/>
    <n v="2016"/>
    <x v="1"/>
    <n v="139848"/>
    <s v="recommended"/>
  </r>
  <r>
    <x v="213"/>
    <x v="151"/>
    <n v="45"/>
    <n v="22641"/>
    <n v="11"/>
    <n v="2016"/>
    <x v="1"/>
    <n v="249051"/>
    <s v="recommended"/>
  </r>
  <r>
    <x v="125"/>
    <x v="93"/>
    <n v="49"/>
    <n v="21834"/>
    <n v="8"/>
    <n v="2016"/>
    <x v="0"/>
    <n v="174672"/>
    <s v="recommended"/>
  </r>
  <r>
    <x v="156"/>
    <x v="114"/>
    <n v="48"/>
    <n v="21625"/>
    <n v="9"/>
    <n v="2016"/>
    <x v="0"/>
    <n v="194625"/>
    <s v="recommended"/>
  </r>
  <r>
    <x v="240"/>
    <x v="101"/>
    <n v="49"/>
    <n v="19622"/>
    <n v="30"/>
    <n v="2016"/>
    <x v="0"/>
    <n v="588660"/>
    <s v="recommended"/>
  </r>
  <r>
    <x v="91"/>
    <x v="67"/>
    <n v="49"/>
    <n v="19576"/>
    <n v="8"/>
    <n v="2016"/>
    <x v="1"/>
    <n v="156608"/>
    <s v="recommended"/>
  </r>
  <r>
    <x v="157"/>
    <x v="115"/>
    <n v="49"/>
    <n v="19546"/>
    <n v="5"/>
    <n v="2016"/>
    <x v="0"/>
    <n v="97730"/>
    <s v="recommended"/>
  </r>
  <r>
    <x v="241"/>
    <x v="167"/>
    <n v="47"/>
    <n v="17739"/>
    <n v="8"/>
    <n v="2016"/>
    <x v="1"/>
    <n v="141912"/>
    <s v="recommended"/>
  </r>
  <r>
    <x v="242"/>
    <x v="168"/>
    <n v="47"/>
    <n v="17350"/>
    <n v="8"/>
    <n v="2016"/>
    <x v="1"/>
    <n v="138800"/>
    <s v="recommended"/>
  </r>
  <r>
    <x v="190"/>
    <x v="136"/>
    <n v="47"/>
    <n v="17323"/>
    <n v="4"/>
    <n v="2016"/>
    <x v="1"/>
    <n v="69292"/>
    <s v="recommended"/>
  </r>
  <r>
    <x v="243"/>
    <x v="169"/>
    <n v="44"/>
    <n v="15526"/>
    <n v="14"/>
    <n v="2016"/>
    <x v="1"/>
    <n v="217364"/>
    <s v="recommended"/>
  </r>
  <r>
    <x v="244"/>
    <x v="170"/>
    <n v="47"/>
    <n v="14331"/>
    <n v="8"/>
    <n v="2016"/>
    <x v="1"/>
    <n v="114648"/>
    <s v="recommended"/>
  </r>
  <r>
    <x v="216"/>
    <x v="153"/>
    <n v="48"/>
    <n v="14038"/>
    <n v="4"/>
    <n v="2016"/>
    <x v="0"/>
    <n v="56152"/>
    <s v="recommended"/>
  </r>
  <r>
    <x v="245"/>
    <x v="171"/>
    <n v="48"/>
    <n v="13779"/>
    <n v="14"/>
    <n v="2016"/>
    <x v="1"/>
    <n v="192906"/>
    <s v="recommended"/>
  </r>
  <r>
    <x v="246"/>
    <x v="172"/>
    <n v="48"/>
    <n v="13471"/>
    <n v="52"/>
    <n v="2016"/>
    <x v="0"/>
    <n v="700492"/>
    <s v="recommended"/>
  </r>
  <r>
    <x v="191"/>
    <x v="137"/>
    <n v="46"/>
    <n v="11128"/>
    <n v="23"/>
    <n v="2016"/>
    <x v="1"/>
    <n v="255944"/>
    <s v="recommended"/>
  </r>
  <r>
    <x v="218"/>
    <x v="155"/>
    <n v="48"/>
    <n v="10922"/>
    <n v="5"/>
    <n v="2016"/>
    <x v="0"/>
    <n v="54610"/>
    <s v="recommended"/>
  </r>
  <r>
    <x v="247"/>
    <x v="173"/>
    <n v="46"/>
    <n v="10721"/>
    <n v="8"/>
    <n v="2016"/>
    <x v="0"/>
    <n v="85768"/>
    <s v="recommended"/>
  </r>
  <r>
    <x v="248"/>
    <x v="174"/>
    <n v="46"/>
    <n v="10369"/>
    <n v="4"/>
    <n v="2016"/>
    <x v="1"/>
    <n v="41476"/>
    <s v="recommended"/>
  </r>
  <r>
    <x v="219"/>
    <x v="156"/>
    <n v="47"/>
    <n v="10070"/>
    <n v="13"/>
    <n v="2016"/>
    <x v="1"/>
    <n v="130910"/>
    <s v="recommended"/>
  </r>
  <r>
    <x v="249"/>
    <x v="101"/>
    <n v="49"/>
    <n v="10052"/>
    <n v="22"/>
    <n v="2016"/>
    <x v="0"/>
    <n v="221144"/>
    <s v="recommended"/>
  </r>
  <r>
    <x v="250"/>
    <x v="175"/>
    <n v="48"/>
    <n v="9198"/>
    <n v="13"/>
    <n v="2016"/>
    <x v="1"/>
    <n v="119574"/>
    <s v="recommended"/>
  </r>
  <r>
    <x v="251"/>
    <x v="72"/>
    <n v="48"/>
    <n v="8916"/>
    <n v="6"/>
    <n v="2016"/>
    <x v="1"/>
    <n v="53496"/>
    <s v="recommended"/>
  </r>
  <r>
    <x v="252"/>
    <x v="176"/>
    <n v="49"/>
    <n v="8842"/>
    <n v="10"/>
    <n v="2016"/>
    <x v="0"/>
    <n v="88420"/>
    <s v="recommended"/>
  </r>
  <r>
    <x v="10"/>
    <x v="9"/>
    <n v="45"/>
    <n v="8580"/>
    <n v="46"/>
    <n v="2016"/>
    <x v="1"/>
    <n v="394680"/>
    <s v="recommended"/>
  </r>
  <r>
    <x v="253"/>
    <x v="177"/>
    <n v="49"/>
    <n v="7861"/>
    <n v="5"/>
    <n v="2016"/>
    <x v="1"/>
    <n v="39305"/>
    <s v="recommended"/>
  </r>
  <r>
    <x v="221"/>
    <x v="158"/>
    <n v="46"/>
    <n v="7508"/>
    <n v="16"/>
    <n v="2016"/>
    <x v="1"/>
    <n v="120128"/>
    <s v="recommended"/>
  </r>
  <r>
    <x v="164"/>
    <x v="120"/>
    <n v="46"/>
    <n v="6990"/>
    <n v="4"/>
    <n v="2016"/>
    <x v="1"/>
    <n v="27960"/>
    <s v="recommended"/>
  </r>
  <r>
    <x v="254"/>
    <x v="178"/>
    <n v="49"/>
    <n v="5867"/>
    <n v="54"/>
    <n v="2016"/>
    <x v="1"/>
    <n v="316818"/>
    <s v="recommended"/>
  </r>
  <r>
    <x v="201"/>
    <x v="143"/>
    <n v="46"/>
    <n v="5542"/>
    <n v="10"/>
    <n v="2016"/>
    <x v="1"/>
    <n v="55420"/>
    <s v="recommended"/>
  </r>
  <r>
    <x v="255"/>
    <x v="179"/>
    <n v="48"/>
    <n v="5249"/>
    <n v="5"/>
    <n v="2016"/>
    <x v="0"/>
    <n v="26245"/>
    <s v="recommended"/>
  </r>
  <r>
    <x v="256"/>
    <x v="180"/>
    <n v="47"/>
    <n v="5178"/>
    <n v="9"/>
    <n v="2016"/>
    <x v="1"/>
    <n v="46602"/>
    <s v="recommended"/>
  </r>
  <r>
    <x v="257"/>
    <x v="16"/>
    <n v="48"/>
    <n v="5118"/>
    <n v="20"/>
    <n v="2016"/>
    <x v="0"/>
    <n v="102360"/>
    <s v="recommended"/>
  </r>
  <r>
    <x v="16"/>
    <x v="11"/>
    <n v="4"/>
    <n v="5069"/>
    <n v="17"/>
    <n v="2016"/>
    <x v="1"/>
    <n v="86173"/>
    <s v="not recommended"/>
  </r>
  <r>
    <x v="258"/>
    <x v="181"/>
    <n v="47"/>
    <n v="4761"/>
    <n v="16"/>
    <n v="2016"/>
    <x v="1"/>
    <n v="76176"/>
    <s v="recommended"/>
  </r>
  <r>
    <x v="7"/>
    <x v="6"/>
    <n v="47"/>
    <n v="4725"/>
    <n v="16"/>
    <n v="2016"/>
    <x v="1"/>
    <n v="75600"/>
    <s v="recommended"/>
  </r>
  <r>
    <x v="259"/>
    <x v="182"/>
    <n v="47"/>
    <n v="4585"/>
    <n v="9"/>
    <n v="2016"/>
    <x v="1"/>
    <n v="41265"/>
    <s v="recommended"/>
  </r>
  <r>
    <x v="260"/>
    <x v="101"/>
    <n v="47"/>
    <n v="4370"/>
    <n v="15"/>
    <n v="2016"/>
    <x v="0"/>
    <n v="65550"/>
    <s v="recommended"/>
  </r>
  <r>
    <x v="261"/>
    <x v="183"/>
    <n v="47"/>
    <n v="3729"/>
    <n v="18"/>
    <n v="2016"/>
    <x v="1"/>
    <n v="67122"/>
    <s v="recommended"/>
  </r>
  <r>
    <x v="262"/>
    <x v="161"/>
    <n v="47"/>
    <n v="3503"/>
    <n v="9"/>
    <n v="2016"/>
    <x v="0"/>
    <n v="31527"/>
    <s v="recommended"/>
  </r>
  <r>
    <x v="263"/>
    <x v="184"/>
    <n v="48"/>
    <n v="2774"/>
    <n v="0"/>
    <n v="2016"/>
    <x v="1"/>
    <n v="0"/>
    <s v="recommended"/>
  </r>
  <r>
    <x v="264"/>
    <x v="185"/>
    <n v="45"/>
    <n v="2313"/>
    <n v="4"/>
    <n v="2016"/>
    <x v="1"/>
    <n v="9252"/>
    <s v="recommended"/>
  </r>
  <r>
    <x v="265"/>
    <x v="60"/>
    <n v="43"/>
    <n v="807"/>
    <n v="36"/>
    <n v="2016"/>
    <x v="1"/>
    <n v="29052"/>
    <s v="recommended"/>
  </r>
  <r>
    <x v="266"/>
    <x v="186"/>
    <n v="43"/>
    <n v="29442"/>
    <n v="7"/>
    <n v="2017"/>
    <x v="0"/>
    <n v="206094"/>
    <s v="recommended"/>
  </r>
  <r>
    <x v="267"/>
    <x v="187"/>
    <n v="46"/>
    <n v="26490"/>
    <n v="15"/>
    <n v="2017"/>
    <x v="1"/>
    <n v="397350"/>
    <s v="recommended"/>
  </r>
  <r>
    <x v="64"/>
    <x v="36"/>
    <n v="48"/>
    <n v="25554"/>
    <n v="8"/>
    <n v="2017"/>
    <x v="1"/>
    <n v="204432"/>
    <s v="recommended"/>
  </r>
  <r>
    <x v="184"/>
    <x v="132"/>
    <n v="47"/>
    <n v="25001"/>
    <n v="11"/>
    <n v="2017"/>
    <x v="1"/>
    <n v="275011"/>
    <s v="recommended"/>
  </r>
  <r>
    <x v="239"/>
    <x v="166"/>
    <n v="46"/>
    <n v="23848"/>
    <n v="8"/>
    <n v="2017"/>
    <x v="0"/>
    <n v="190784"/>
    <s v="recommended"/>
  </r>
  <r>
    <x v="153"/>
    <x v="112"/>
    <n v="47"/>
    <n v="23308"/>
    <n v="6"/>
    <n v="2017"/>
    <x v="1"/>
    <n v="139848"/>
    <s v="recommended"/>
  </r>
  <r>
    <x v="213"/>
    <x v="151"/>
    <n v="45"/>
    <n v="22641"/>
    <n v="11"/>
    <n v="2017"/>
    <x v="1"/>
    <n v="249051"/>
    <s v="recommended"/>
  </r>
  <r>
    <x v="268"/>
    <x v="188"/>
    <n v="46"/>
    <n v="22536"/>
    <n v="12"/>
    <n v="2017"/>
    <x v="0"/>
    <n v="270432"/>
    <s v="recommended"/>
  </r>
  <r>
    <x v="125"/>
    <x v="93"/>
    <n v="49"/>
    <n v="21834"/>
    <n v="8"/>
    <n v="2017"/>
    <x v="0"/>
    <n v="174672"/>
    <s v="recommended"/>
  </r>
  <r>
    <x v="156"/>
    <x v="114"/>
    <n v="48"/>
    <n v="21625"/>
    <n v="9"/>
    <n v="2017"/>
    <x v="0"/>
    <n v="194625"/>
    <s v="recommended"/>
  </r>
  <r>
    <x v="269"/>
    <x v="189"/>
    <n v="47"/>
    <n v="21424"/>
    <n v="6"/>
    <n v="2017"/>
    <x v="0"/>
    <n v="128544"/>
    <s v="recommended"/>
  </r>
  <r>
    <x v="0"/>
    <x v="0"/>
    <n v="46"/>
    <n v="19720"/>
    <n v="8"/>
    <n v="2017"/>
    <x v="0"/>
    <n v="157760"/>
    <s v="recommended"/>
  </r>
  <r>
    <x v="270"/>
    <x v="190"/>
    <n v="47"/>
    <n v="19699"/>
    <n v="15"/>
    <n v="2017"/>
    <x v="0"/>
    <n v="295485"/>
    <s v="recommended"/>
  </r>
  <r>
    <x v="157"/>
    <x v="115"/>
    <n v="49"/>
    <n v="19546"/>
    <n v="5"/>
    <n v="2017"/>
    <x v="0"/>
    <n v="97730"/>
    <s v="recommended"/>
  </r>
  <r>
    <x v="271"/>
    <x v="7"/>
    <n v="43"/>
    <n v="18904"/>
    <n v="13"/>
    <n v="2017"/>
    <x v="0"/>
    <n v="245752"/>
    <s v="recommended"/>
  </r>
  <r>
    <x v="241"/>
    <x v="167"/>
    <n v="47"/>
    <n v="17739"/>
    <n v="8"/>
    <n v="2017"/>
    <x v="1"/>
    <n v="141912"/>
    <s v="recommended"/>
  </r>
  <r>
    <x v="190"/>
    <x v="136"/>
    <n v="47"/>
    <n v="17323"/>
    <n v="4"/>
    <n v="2017"/>
    <x v="1"/>
    <n v="69292"/>
    <s v="recommended"/>
  </r>
  <r>
    <x v="272"/>
    <x v="191"/>
    <n v="48"/>
    <n v="16990"/>
    <n v="27"/>
    <n v="2017"/>
    <x v="0"/>
    <n v="458730"/>
    <s v="recommended"/>
  </r>
  <r>
    <x v="273"/>
    <x v="192"/>
    <n v="48"/>
    <n v="16643"/>
    <n v="4"/>
    <n v="2017"/>
    <x v="0"/>
    <n v="66572"/>
    <s v="recommended"/>
  </r>
  <r>
    <x v="243"/>
    <x v="169"/>
    <n v="44"/>
    <n v="15526"/>
    <n v="14"/>
    <n v="2017"/>
    <x v="1"/>
    <n v="217364"/>
    <s v="recommended"/>
  </r>
  <r>
    <x v="274"/>
    <x v="193"/>
    <n v="49"/>
    <n v="14344"/>
    <n v="5"/>
    <n v="2017"/>
    <x v="0"/>
    <n v="71720"/>
    <s v="recommended"/>
  </r>
  <r>
    <x v="244"/>
    <x v="170"/>
    <n v="47"/>
    <n v="14331"/>
    <n v="8"/>
    <n v="2017"/>
    <x v="1"/>
    <n v="114648"/>
    <s v="recommended"/>
  </r>
  <r>
    <x v="216"/>
    <x v="153"/>
    <n v="48"/>
    <n v="14038"/>
    <n v="4"/>
    <n v="2017"/>
    <x v="0"/>
    <n v="56152"/>
    <s v="recommended"/>
  </r>
  <r>
    <x v="191"/>
    <x v="137"/>
    <n v="46"/>
    <n v="11128"/>
    <n v="23"/>
    <n v="2017"/>
    <x v="1"/>
    <n v="255944"/>
    <s v="recommended"/>
  </r>
  <r>
    <x v="218"/>
    <x v="155"/>
    <n v="48"/>
    <n v="10922"/>
    <n v="5"/>
    <n v="2017"/>
    <x v="0"/>
    <n v="54610"/>
    <s v="recommended"/>
  </r>
  <r>
    <x v="275"/>
    <x v="194"/>
    <n v="47"/>
    <n v="10199"/>
    <n v="11"/>
    <n v="2017"/>
    <x v="1"/>
    <n v="112189"/>
    <s v="recommended"/>
  </r>
  <r>
    <x v="276"/>
    <x v="195"/>
    <n v="48"/>
    <n v="9784"/>
    <n v="5"/>
    <n v="2017"/>
    <x v="0"/>
    <n v="48920"/>
    <s v="recommended"/>
  </r>
  <r>
    <x v="277"/>
    <x v="196"/>
    <n v="47"/>
    <n v="9374"/>
    <n v="9"/>
    <n v="2017"/>
    <x v="1"/>
    <n v="84366"/>
    <s v="recommended"/>
  </r>
  <r>
    <x v="252"/>
    <x v="176"/>
    <n v="49"/>
    <n v="8842"/>
    <n v="10"/>
    <n v="2017"/>
    <x v="0"/>
    <n v="88420"/>
    <s v="recommended"/>
  </r>
  <r>
    <x v="278"/>
    <x v="197"/>
    <n v="48"/>
    <n v="8837"/>
    <n v="5"/>
    <n v="2017"/>
    <x v="0"/>
    <n v="44185"/>
    <s v="recommended"/>
  </r>
  <r>
    <x v="10"/>
    <x v="9"/>
    <n v="45"/>
    <n v="8580"/>
    <n v="46"/>
    <n v="2017"/>
    <x v="1"/>
    <n v="394680"/>
    <s v="recommended"/>
  </r>
  <r>
    <x v="279"/>
    <x v="198"/>
    <n v="46"/>
    <n v="8393"/>
    <n v="17"/>
    <n v="2017"/>
    <x v="1"/>
    <n v="142681"/>
    <s v="recommended"/>
  </r>
  <r>
    <x v="280"/>
    <x v="199"/>
    <n v="45"/>
    <n v="7932"/>
    <n v="9"/>
    <n v="2017"/>
    <x v="0"/>
    <n v="71388"/>
    <s v="recommended"/>
  </r>
  <r>
    <x v="221"/>
    <x v="158"/>
    <n v="46"/>
    <n v="7508"/>
    <n v="16"/>
    <n v="2017"/>
    <x v="1"/>
    <n v="120128"/>
    <s v="recommended"/>
  </r>
  <r>
    <x v="281"/>
    <x v="200"/>
    <n v="43"/>
    <n v="7368"/>
    <n v="7"/>
    <n v="2017"/>
    <x v="1"/>
    <n v="51576"/>
    <s v="recommended"/>
  </r>
  <r>
    <x v="164"/>
    <x v="120"/>
    <n v="46"/>
    <n v="6990"/>
    <n v="4"/>
    <n v="2017"/>
    <x v="1"/>
    <n v="27960"/>
    <s v="recommended"/>
  </r>
  <r>
    <x v="282"/>
    <x v="16"/>
    <n v="48"/>
    <n v="5836"/>
    <n v="0"/>
    <n v="2017"/>
    <x v="0"/>
    <n v="0"/>
    <s v="recommended"/>
  </r>
  <r>
    <x v="283"/>
    <x v="201"/>
    <n v="46"/>
    <n v="5492"/>
    <n v="18"/>
    <n v="2017"/>
    <x v="1"/>
    <n v="98856"/>
    <s v="recommended"/>
  </r>
  <r>
    <x v="284"/>
    <x v="167"/>
    <n v="47"/>
    <n v="5487"/>
    <n v="9"/>
    <n v="2017"/>
    <x v="1"/>
    <n v="49383"/>
    <s v="recommended"/>
  </r>
  <r>
    <x v="255"/>
    <x v="179"/>
    <n v="48"/>
    <n v="5249"/>
    <n v="5"/>
    <n v="2017"/>
    <x v="0"/>
    <n v="26245"/>
    <s v="recommended"/>
  </r>
  <r>
    <x v="16"/>
    <x v="11"/>
    <n v="4"/>
    <n v="5069"/>
    <n v="17"/>
    <n v="2017"/>
    <x v="1"/>
    <n v="86173"/>
    <s v="not recommended"/>
  </r>
  <r>
    <x v="285"/>
    <x v="202"/>
    <n v="49"/>
    <n v="4786"/>
    <n v="8"/>
    <n v="2017"/>
    <x v="0"/>
    <n v="38288"/>
    <s v="recommended"/>
  </r>
  <r>
    <x v="286"/>
    <x v="203"/>
    <n v="48"/>
    <n v="4757"/>
    <n v="4"/>
    <n v="2017"/>
    <x v="0"/>
    <n v="19028"/>
    <s v="recommended"/>
  </r>
  <r>
    <x v="7"/>
    <x v="6"/>
    <n v="47"/>
    <n v="4725"/>
    <n v="16"/>
    <n v="2017"/>
    <x v="1"/>
    <n v="75600"/>
    <s v="recommended"/>
  </r>
  <r>
    <x v="287"/>
    <x v="80"/>
    <n v="46"/>
    <n v="4360"/>
    <n v="21"/>
    <n v="2017"/>
    <x v="1"/>
    <n v="91560"/>
    <s v="recommended"/>
  </r>
  <r>
    <x v="288"/>
    <x v="204"/>
    <n v="49"/>
    <n v="3192"/>
    <n v="22"/>
    <n v="2017"/>
    <x v="1"/>
    <n v="70224"/>
    <s v="recommended"/>
  </r>
  <r>
    <x v="289"/>
    <x v="101"/>
    <n v="49"/>
    <n v="3146"/>
    <n v="30"/>
    <n v="2017"/>
    <x v="0"/>
    <n v="94380"/>
    <s v="recommended"/>
  </r>
  <r>
    <x v="290"/>
    <x v="205"/>
    <n v="44"/>
    <n v="3113"/>
    <n v="6"/>
    <n v="2017"/>
    <x v="1"/>
    <n v="18678"/>
    <s v="recommended"/>
  </r>
  <r>
    <x v="291"/>
    <x v="74"/>
    <n v="45"/>
    <n v="3014"/>
    <n v="21"/>
    <n v="2017"/>
    <x v="1"/>
    <n v="63294"/>
    <s v="recommended"/>
  </r>
  <r>
    <x v="292"/>
    <x v="122"/>
    <n v="45"/>
    <n v="1831"/>
    <n v="9"/>
    <n v="2017"/>
    <x v="1"/>
    <n v="16479"/>
    <s v="recommended"/>
  </r>
  <r>
    <x v="293"/>
    <x v="206"/>
    <n v="48"/>
    <n v="61133"/>
    <n v="11"/>
    <n v="2018"/>
    <x v="1"/>
    <n v="672463"/>
    <s v="recommended"/>
  </r>
  <r>
    <x v="294"/>
    <x v="207"/>
    <n v="48"/>
    <n v="30183"/>
    <n v="4"/>
    <n v="2018"/>
    <x v="0"/>
    <n v="120732"/>
    <s v="recommended"/>
  </r>
  <r>
    <x v="295"/>
    <x v="208"/>
    <n v="47"/>
    <n v="28729"/>
    <n v="15"/>
    <n v="2018"/>
    <x v="1"/>
    <n v="430935"/>
    <s v="recommended"/>
  </r>
  <r>
    <x v="267"/>
    <x v="187"/>
    <n v="46"/>
    <n v="26490"/>
    <n v="15"/>
    <n v="2018"/>
    <x v="1"/>
    <n v="397350"/>
    <s v="recommended"/>
  </r>
  <r>
    <x v="296"/>
    <x v="209"/>
    <n v="45"/>
    <n v="25706"/>
    <n v="12"/>
    <n v="2018"/>
    <x v="0"/>
    <n v="308472"/>
    <s v="recommended"/>
  </r>
  <r>
    <x v="64"/>
    <x v="36"/>
    <n v="48"/>
    <n v="25554"/>
    <n v="8"/>
    <n v="2018"/>
    <x v="1"/>
    <n v="204432"/>
    <s v="recommended"/>
  </r>
  <r>
    <x v="184"/>
    <x v="132"/>
    <n v="47"/>
    <n v="25001"/>
    <n v="11"/>
    <n v="2018"/>
    <x v="1"/>
    <n v="275011"/>
    <s v="recommended"/>
  </r>
  <r>
    <x v="153"/>
    <x v="112"/>
    <n v="47"/>
    <n v="23308"/>
    <n v="6"/>
    <n v="2018"/>
    <x v="1"/>
    <n v="139848"/>
    <s v="recommended"/>
  </r>
  <r>
    <x v="297"/>
    <x v="210"/>
    <n v="48"/>
    <n v="23047"/>
    <n v="6"/>
    <n v="2018"/>
    <x v="1"/>
    <n v="138282"/>
    <s v="recommended"/>
  </r>
  <r>
    <x v="268"/>
    <x v="188"/>
    <n v="46"/>
    <n v="22536"/>
    <n v="12"/>
    <n v="2018"/>
    <x v="0"/>
    <n v="270432"/>
    <s v="recommended"/>
  </r>
  <r>
    <x v="298"/>
    <x v="211"/>
    <n v="46"/>
    <n v="22288"/>
    <n v="12"/>
    <n v="2018"/>
    <x v="1"/>
    <n v="267456"/>
    <s v="recommended"/>
  </r>
  <r>
    <x v="125"/>
    <x v="93"/>
    <n v="49"/>
    <n v="21834"/>
    <n v="8"/>
    <n v="2018"/>
    <x v="0"/>
    <n v="174672"/>
    <s v="recommended"/>
  </r>
  <r>
    <x v="157"/>
    <x v="115"/>
    <n v="49"/>
    <n v="19546"/>
    <n v="5"/>
    <n v="2018"/>
    <x v="0"/>
    <n v="97730"/>
    <s v="recommended"/>
  </r>
  <r>
    <x v="299"/>
    <x v="212"/>
    <n v="47"/>
    <n v="18979"/>
    <n v="15"/>
    <n v="2018"/>
    <x v="1"/>
    <n v="284685"/>
    <s v="recommended"/>
  </r>
  <r>
    <x v="241"/>
    <x v="167"/>
    <n v="47"/>
    <n v="17739"/>
    <n v="8"/>
    <n v="2018"/>
    <x v="1"/>
    <n v="141912"/>
    <s v="recommended"/>
  </r>
  <r>
    <x v="190"/>
    <x v="136"/>
    <n v="47"/>
    <n v="17323"/>
    <n v="4"/>
    <n v="2018"/>
    <x v="1"/>
    <n v="69292"/>
    <s v="recommended"/>
  </r>
  <r>
    <x v="272"/>
    <x v="191"/>
    <n v="48"/>
    <n v="16990"/>
    <n v="27"/>
    <n v="2018"/>
    <x v="0"/>
    <n v="458730"/>
    <s v="recommended"/>
  </r>
  <r>
    <x v="244"/>
    <x v="170"/>
    <n v="47"/>
    <n v="14331"/>
    <n v="8"/>
    <n v="2018"/>
    <x v="1"/>
    <n v="114648"/>
    <s v="recommended"/>
  </r>
  <r>
    <x v="216"/>
    <x v="153"/>
    <n v="48"/>
    <n v="14038"/>
    <n v="4"/>
    <n v="2018"/>
    <x v="0"/>
    <n v="56152"/>
    <s v="recommended"/>
  </r>
  <r>
    <x v="300"/>
    <x v="213"/>
    <n v="42"/>
    <n v="13677"/>
    <n v="6"/>
    <n v="2018"/>
    <x v="1"/>
    <n v="82062"/>
    <s v="recommended"/>
  </r>
  <r>
    <x v="301"/>
    <x v="214"/>
    <n v="43"/>
    <n v="13061"/>
    <n v="6"/>
    <n v="2018"/>
    <x v="1"/>
    <n v="78366"/>
    <s v="recommended"/>
  </r>
  <r>
    <x v="302"/>
    <x v="215"/>
    <n v="49"/>
    <n v="11881"/>
    <n v="13"/>
    <n v="2018"/>
    <x v="0"/>
    <n v="154453"/>
    <s v="recommended"/>
  </r>
  <r>
    <x v="218"/>
    <x v="155"/>
    <n v="48"/>
    <n v="10922"/>
    <n v="5"/>
    <n v="2018"/>
    <x v="0"/>
    <n v="54610"/>
    <s v="recommended"/>
  </r>
  <r>
    <x v="303"/>
    <x v="216"/>
    <n v="47"/>
    <n v="10820"/>
    <n v="5"/>
    <n v="2018"/>
    <x v="1"/>
    <n v="54100"/>
    <s v="recommended"/>
  </r>
  <r>
    <x v="247"/>
    <x v="173"/>
    <n v="46"/>
    <n v="10721"/>
    <n v="8"/>
    <n v="2018"/>
    <x v="0"/>
    <n v="85768"/>
    <s v="recommended"/>
  </r>
  <r>
    <x v="304"/>
    <x v="33"/>
    <n v="43"/>
    <n v="10191"/>
    <n v="18"/>
    <n v="2018"/>
    <x v="0"/>
    <n v="183438"/>
    <s v="recommended"/>
  </r>
  <r>
    <x v="305"/>
    <x v="217"/>
    <n v="48"/>
    <n v="9947"/>
    <n v="11"/>
    <n v="2018"/>
    <x v="0"/>
    <n v="109417"/>
    <s v="recommended"/>
  </r>
  <r>
    <x v="306"/>
    <x v="218"/>
    <n v="48"/>
    <n v="9867"/>
    <n v="16"/>
    <n v="2018"/>
    <x v="1"/>
    <n v="157872"/>
    <s v="recommended"/>
  </r>
  <r>
    <x v="276"/>
    <x v="195"/>
    <n v="48"/>
    <n v="9784"/>
    <n v="5"/>
    <n v="2018"/>
    <x v="0"/>
    <n v="48920"/>
    <s v="recommended"/>
  </r>
  <r>
    <x v="252"/>
    <x v="176"/>
    <n v="49"/>
    <n v="8842"/>
    <n v="10"/>
    <n v="2018"/>
    <x v="0"/>
    <n v="88420"/>
    <s v="recommended"/>
  </r>
  <r>
    <x v="278"/>
    <x v="197"/>
    <n v="48"/>
    <n v="8837"/>
    <n v="5"/>
    <n v="2018"/>
    <x v="0"/>
    <n v="44185"/>
    <s v="recommended"/>
  </r>
  <r>
    <x v="10"/>
    <x v="9"/>
    <n v="45"/>
    <n v="8580"/>
    <n v="46"/>
    <n v="2018"/>
    <x v="1"/>
    <n v="394680"/>
    <s v="recommended"/>
  </r>
  <r>
    <x v="307"/>
    <x v="219"/>
    <n v="48"/>
    <n v="7802"/>
    <n v="20"/>
    <n v="2018"/>
    <x v="1"/>
    <n v="156040"/>
    <s v="recommended"/>
  </r>
  <r>
    <x v="308"/>
    <x v="220"/>
    <n v="44"/>
    <n v="7550"/>
    <n v="6"/>
    <n v="2018"/>
    <x v="1"/>
    <n v="45300"/>
    <s v="recommended"/>
  </r>
  <r>
    <x v="309"/>
    <x v="221"/>
    <n v="44"/>
    <n v="7396"/>
    <n v="13"/>
    <n v="2018"/>
    <x v="1"/>
    <n v="96148"/>
    <s v="recommended"/>
  </r>
  <r>
    <x v="281"/>
    <x v="200"/>
    <n v="43"/>
    <n v="7368"/>
    <n v="7"/>
    <n v="2018"/>
    <x v="1"/>
    <n v="51576"/>
    <s v="recommended"/>
  </r>
  <r>
    <x v="310"/>
    <x v="202"/>
    <n v="49"/>
    <n v="7235"/>
    <n v="4"/>
    <n v="2018"/>
    <x v="0"/>
    <n v="28940"/>
    <s v="recommended"/>
  </r>
  <r>
    <x v="311"/>
    <x v="222"/>
    <n v="44"/>
    <n v="7058"/>
    <n v="17"/>
    <n v="2018"/>
    <x v="1"/>
    <n v="119986"/>
    <s v="recommended"/>
  </r>
  <r>
    <x v="312"/>
    <x v="223"/>
    <n v="46"/>
    <n v="6669"/>
    <n v="12"/>
    <n v="2018"/>
    <x v="1"/>
    <n v="80028"/>
    <s v="recommended"/>
  </r>
  <r>
    <x v="313"/>
    <x v="224"/>
    <n v="43"/>
    <n v="6143"/>
    <n v="8"/>
    <n v="2018"/>
    <x v="0"/>
    <n v="49144"/>
    <s v="recommended"/>
  </r>
  <r>
    <x v="314"/>
    <x v="225"/>
    <n v="44"/>
    <n v="6042"/>
    <n v="2"/>
    <n v="2018"/>
    <x v="1"/>
    <n v="12084"/>
    <s v="recommended"/>
  </r>
  <r>
    <x v="315"/>
    <x v="226"/>
    <n v="47"/>
    <n v="5983"/>
    <n v="3"/>
    <n v="2018"/>
    <x v="1"/>
    <n v="17949"/>
    <s v="recommended"/>
  </r>
  <r>
    <x v="316"/>
    <x v="16"/>
    <n v="48"/>
    <n v="5898"/>
    <n v="8"/>
    <n v="2018"/>
    <x v="0"/>
    <n v="47184"/>
    <s v="recommended"/>
  </r>
  <r>
    <x v="317"/>
    <x v="202"/>
    <n v="49"/>
    <n v="5470"/>
    <n v="6"/>
    <n v="2018"/>
    <x v="0"/>
    <n v="32820"/>
    <s v="recommended"/>
  </r>
  <r>
    <x v="318"/>
    <x v="227"/>
    <n v="45"/>
    <n v="5153"/>
    <n v="5"/>
    <n v="2018"/>
    <x v="0"/>
    <n v="25765"/>
    <s v="recommended"/>
  </r>
  <r>
    <x v="319"/>
    <x v="202"/>
    <n v="49"/>
    <n v="5062"/>
    <n v="6"/>
    <n v="2018"/>
    <x v="0"/>
    <n v="30372"/>
    <s v="recommended"/>
  </r>
  <r>
    <x v="320"/>
    <x v="228"/>
    <n v="48"/>
    <n v="3923"/>
    <n v="16"/>
    <n v="2018"/>
    <x v="1"/>
    <n v="62768"/>
    <s v="recommended"/>
  </r>
  <r>
    <x v="321"/>
    <x v="218"/>
    <n v="48"/>
    <n v="3776"/>
    <n v="22"/>
    <n v="2018"/>
    <x v="1"/>
    <n v="83072"/>
    <s v="recommended"/>
  </r>
  <r>
    <x v="322"/>
    <x v="222"/>
    <n v="45"/>
    <n v="3601"/>
    <n v="18"/>
    <n v="2018"/>
    <x v="1"/>
    <n v="64818"/>
    <s v="recommended"/>
  </r>
  <r>
    <x v="323"/>
    <x v="229"/>
    <n v="48"/>
    <n v="2507"/>
    <n v="8"/>
    <n v="2018"/>
    <x v="1"/>
    <n v="20056"/>
    <s v="recommended"/>
  </r>
  <r>
    <x v="324"/>
    <x v="230"/>
    <n v="48"/>
    <n v="87841"/>
    <n v="15"/>
    <n v="2019"/>
    <x v="0"/>
    <n v="1317615"/>
    <s v="recommended"/>
  </r>
  <r>
    <x v="293"/>
    <x v="206"/>
    <n v="48"/>
    <n v="61133"/>
    <n v="11"/>
    <n v="2019"/>
    <x v="1"/>
    <n v="672463"/>
    <s v="recommended"/>
  </r>
  <r>
    <x v="294"/>
    <x v="207"/>
    <n v="48"/>
    <n v="30183"/>
    <n v="4"/>
    <n v="2019"/>
    <x v="0"/>
    <n v="120732"/>
    <s v="recommended"/>
  </r>
  <r>
    <x v="295"/>
    <x v="208"/>
    <n v="47"/>
    <n v="28729"/>
    <n v="15"/>
    <n v="2019"/>
    <x v="1"/>
    <n v="430935"/>
    <s v="recommended"/>
  </r>
  <r>
    <x v="325"/>
    <x v="231"/>
    <n v="45"/>
    <n v="27536"/>
    <n v="14"/>
    <n v="2019"/>
    <x v="0"/>
    <n v="385504"/>
    <s v="recommended"/>
  </r>
  <r>
    <x v="267"/>
    <x v="187"/>
    <n v="46"/>
    <n v="26490"/>
    <n v="15"/>
    <n v="2019"/>
    <x v="1"/>
    <n v="397350"/>
    <s v="recommended"/>
  </r>
  <r>
    <x v="152"/>
    <x v="111"/>
    <n v="48"/>
    <n v="26234"/>
    <n v="7"/>
    <n v="2019"/>
    <x v="0"/>
    <n v="183638"/>
    <s v="recommended"/>
  </r>
  <r>
    <x v="64"/>
    <x v="36"/>
    <n v="48"/>
    <n v="25554"/>
    <n v="8"/>
    <n v="2019"/>
    <x v="1"/>
    <n v="204432"/>
    <s v="recommended"/>
  </r>
  <r>
    <x v="153"/>
    <x v="112"/>
    <n v="47"/>
    <n v="23308"/>
    <n v="6"/>
    <n v="2019"/>
    <x v="1"/>
    <n v="139848"/>
    <s v="recommended"/>
  </r>
  <r>
    <x v="297"/>
    <x v="210"/>
    <n v="48"/>
    <n v="23047"/>
    <n v="6"/>
    <n v="2019"/>
    <x v="1"/>
    <n v="138282"/>
    <s v="recommended"/>
  </r>
  <r>
    <x v="213"/>
    <x v="151"/>
    <n v="45"/>
    <n v="22641"/>
    <n v="11"/>
    <n v="2019"/>
    <x v="1"/>
    <n v="249051"/>
    <s v="recommended"/>
  </r>
  <r>
    <x v="298"/>
    <x v="211"/>
    <n v="46"/>
    <n v="22288"/>
    <n v="12"/>
    <n v="2019"/>
    <x v="1"/>
    <n v="267456"/>
    <s v="recommended"/>
  </r>
  <r>
    <x v="125"/>
    <x v="93"/>
    <n v="49"/>
    <n v="21834"/>
    <n v="8"/>
    <n v="2019"/>
    <x v="0"/>
    <n v="174672"/>
    <s v="recommended"/>
  </r>
  <r>
    <x v="157"/>
    <x v="115"/>
    <n v="49"/>
    <n v="19546"/>
    <n v="5"/>
    <n v="2019"/>
    <x v="0"/>
    <n v="97730"/>
    <s v="recommended"/>
  </r>
  <r>
    <x v="272"/>
    <x v="191"/>
    <n v="48"/>
    <n v="16990"/>
    <n v="27"/>
    <n v="2019"/>
    <x v="0"/>
    <n v="458730"/>
    <s v="recommended"/>
  </r>
  <r>
    <x v="273"/>
    <x v="192"/>
    <n v="48"/>
    <n v="16643"/>
    <n v="4"/>
    <n v="2019"/>
    <x v="0"/>
    <n v="66572"/>
    <s v="recommended"/>
  </r>
  <r>
    <x v="326"/>
    <x v="232"/>
    <n v="48"/>
    <n v="16244"/>
    <n v="18"/>
    <n v="2019"/>
    <x v="1"/>
    <n v="292392"/>
    <s v="recommended"/>
  </r>
  <r>
    <x v="274"/>
    <x v="193"/>
    <n v="49"/>
    <n v="14344"/>
    <n v="5"/>
    <n v="2019"/>
    <x v="0"/>
    <n v="71720"/>
    <s v="recommended"/>
  </r>
  <r>
    <x v="244"/>
    <x v="170"/>
    <n v="47"/>
    <n v="14331"/>
    <n v="8"/>
    <n v="2019"/>
    <x v="1"/>
    <n v="114648"/>
    <s v="recommended"/>
  </r>
  <r>
    <x v="216"/>
    <x v="153"/>
    <n v="48"/>
    <n v="14038"/>
    <n v="4"/>
    <n v="2019"/>
    <x v="0"/>
    <n v="56152"/>
    <s v="recommended"/>
  </r>
  <r>
    <x v="327"/>
    <x v="46"/>
    <n v="45"/>
    <n v="13609"/>
    <n v="14"/>
    <n v="2019"/>
    <x v="0"/>
    <n v="190526"/>
    <s v="recommended"/>
  </r>
  <r>
    <x v="301"/>
    <x v="214"/>
    <n v="43"/>
    <n v="13061"/>
    <n v="6"/>
    <n v="2019"/>
    <x v="1"/>
    <n v="78366"/>
    <s v="recommended"/>
  </r>
  <r>
    <x v="328"/>
    <x v="202"/>
    <n v="49"/>
    <n v="12619"/>
    <n v="8"/>
    <n v="2019"/>
    <x v="0"/>
    <n v="100952"/>
    <s v="recommended"/>
  </r>
  <r>
    <x v="329"/>
    <x v="233"/>
    <n v="48"/>
    <n v="12361"/>
    <n v="12"/>
    <n v="2019"/>
    <x v="1"/>
    <n v="148332"/>
    <s v="recommended"/>
  </r>
  <r>
    <x v="330"/>
    <x v="234"/>
    <n v="47"/>
    <n v="11550"/>
    <n v="10"/>
    <n v="2019"/>
    <x v="1"/>
    <n v="115500"/>
    <s v="recommended"/>
  </r>
  <r>
    <x v="303"/>
    <x v="216"/>
    <n v="47"/>
    <n v="10820"/>
    <n v="5"/>
    <n v="2019"/>
    <x v="1"/>
    <n v="54100"/>
    <s v="recommended"/>
  </r>
  <r>
    <x v="331"/>
    <x v="235"/>
    <n v="46"/>
    <n v="10141"/>
    <n v="6"/>
    <n v="2019"/>
    <x v="1"/>
    <n v="60846"/>
    <s v="recommended"/>
  </r>
  <r>
    <x v="332"/>
    <x v="236"/>
    <n v="48"/>
    <n v="9737"/>
    <n v="7"/>
    <n v="2019"/>
    <x v="1"/>
    <n v="68159"/>
    <s v="recommended"/>
  </r>
  <r>
    <x v="333"/>
    <x v="16"/>
    <n v="49"/>
    <n v="9413"/>
    <n v="8"/>
    <n v="2019"/>
    <x v="0"/>
    <n v="75304"/>
    <s v="recommended"/>
  </r>
  <r>
    <x v="334"/>
    <x v="237"/>
    <n v="49"/>
    <n v="9382"/>
    <n v="6"/>
    <n v="2019"/>
    <x v="0"/>
    <n v="56292"/>
    <s v="recommended"/>
  </r>
  <r>
    <x v="335"/>
    <x v="202"/>
    <n v="49"/>
    <n v="9089"/>
    <n v="8"/>
    <n v="2019"/>
    <x v="0"/>
    <n v="72712"/>
    <s v="recommended"/>
  </r>
  <r>
    <x v="336"/>
    <x v="238"/>
    <n v="47"/>
    <n v="9030"/>
    <n v="10"/>
    <n v="2019"/>
    <x v="1"/>
    <n v="90300"/>
    <s v="recommended"/>
  </r>
  <r>
    <x v="252"/>
    <x v="176"/>
    <n v="49"/>
    <n v="8842"/>
    <n v="10"/>
    <n v="2019"/>
    <x v="0"/>
    <n v="88420"/>
    <s v="recommended"/>
  </r>
  <r>
    <x v="278"/>
    <x v="197"/>
    <n v="48"/>
    <n v="8837"/>
    <n v="5"/>
    <n v="2019"/>
    <x v="0"/>
    <n v="44185"/>
    <s v="recommended"/>
  </r>
  <r>
    <x v="337"/>
    <x v="239"/>
    <n v="48"/>
    <n v="8170"/>
    <n v="13"/>
    <n v="2019"/>
    <x v="0"/>
    <n v="106210"/>
    <s v="recommended"/>
  </r>
  <r>
    <x v="338"/>
    <x v="240"/>
    <n v="46"/>
    <n v="7955"/>
    <n v="5"/>
    <n v="2019"/>
    <x v="1"/>
    <n v="39775"/>
    <s v="recommended"/>
  </r>
  <r>
    <x v="339"/>
    <x v="241"/>
    <n v="48"/>
    <n v="7866"/>
    <n v="11"/>
    <n v="2019"/>
    <x v="1"/>
    <n v="86526"/>
    <s v="recommended"/>
  </r>
  <r>
    <x v="307"/>
    <x v="219"/>
    <n v="48"/>
    <n v="7802"/>
    <n v="20"/>
    <n v="2019"/>
    <x v="1"/>
    <n v="156040"/>
    <s v="recommended"/>
  </r>
  <r>
    <x v="340"/>
    <x v="172"/>
    <n v="49"/>
    <n v="7758"/>
    <n v="18"/>
    <n v="2019"/>
    <x v="0"/>
    <n v="139644"/>
    <s v="recommended"/>
  </r>
  <r>
    <x v="341"/>
    <x v="242"/>
    <n v="48"/>
    <n v="7665"/>
    <n v="12"/>
    <n v="2019"/>
    <x v="1"/>
    <n v="91980"/>
    <s v="recommended"/>
  </r>
  <r>
    <x v="342"/>
    <x v="211"/>
    <n v="46"/>
    <n v="7660"/>
    <n v="12"/>
    <n v="2019"/>
    <x v="1"/>
    <n v="91920"/>
    <s v="recommended"/>
  </r>
  <r>
    <x v="309"/>
    <x v="221"/>
    <n v="44"/>
    <n v="7396"/>
    <n v="13"/>
    <n v="2019"/>
    <x v="1"/>
    <n v="96148"/>
    <s v="recommended"/>
  </r>
  <r>
    <x v="310"/>
    <x v="202"/>
    <n v="49"/>
    <n v="7235"/>
    <n v="4"/>
    <n v="2019"/>
    <x v="0"/>
    <n v="28940"/>
    <s v="recommended"/>
  </r>
  <r>
    <x v="343"/>
    <x v="182"/>
    <n v="48"/>
    <n v="7062"/>
    <n v="12"/>
    <n v="2019"/>
    <x v="1"/>
    <n v="84744"/>
    <s v="recommended"/>
  </r>
  <r>
    <x v="344"/>
    <x v="243"/>
    <n v="48"/>
    <n v="6108"/>
    <n v="4"/>
    <n v="2019"/>
    <x v="1"/>
    <n v="24432"/>
    <s v="recommended"/>
  </r>
  <r>
    <x v="345"/>
    <x v="18"/>
    <n v="49"/>
    <n v="5956"/>
    <n v="11"/>
    <n v="2019"/>
    <x v="1"/>
    <n v="65516"/>
    <s v="recommended"/>
  </r>
  <r>
    <x v="346"/>
    <x v="244"/>
    <n v="48"/>
    <n v="5476"/>
    <n v="7"/>
    <n v="2019"/>
    <x v="1"/>
    <n v="38332"/>
    <s v="recommended"/>
  </r>
  <r>
    <x v="347"/>
    <x v="245"/>
    <n v="48"/>
    <n v="5347"/>
    <n v="16"/>
    <n v="2019"/>
    <x v="1"/>
    <n v="85552"/>
    <s v="recommended"/>
  </r>
  <r>
    <x v="348"/>
    <x v="246"/>
    <n v="43"/>
    <n v="5272"/>
    <n v="16"/>
    <n v="2019"/>
    <x v="1"/>
    <n v="84352"/>
    <s v="recommended"/>
  </r>
  <r>
    <x v="349"/>
    <x v="247"/>
    <n v="46"/>
    <n v="2744"/>
    <n v="12"/>
    <n v="2019"/>
    <x v="1"/>
    <n v="32928"/>
    <s v="recommend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7C4777-C127-4EE3-B291-94816B6AA032}" name="TablaDinámica34" cacheId="2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5">
  <location ref="G3:H5" firstHeaderRow="1" firstDataRow="1" firstDataCol="1"/>
  <pivotFields count="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6"/>
  </rowFields>
  <rowItems count="2">
    <i>
      <x/>
    </i>
    <i>
      <x v="1"/>
    </i>
  </rowItems>
  <colItems count="1">
    <i/>
  </colItems>
  <dataFields count="1">
    <dataField name="Suma de Sales_Per_Reviews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007B45-9F07-4B56-8C73-B19227A2B821}" name="TablaDinámica32" cacheId="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1">
  <location ref="A3:B5" firstHeaderRow="1" firstDataRow="1" firstDataCol="1"/>
  <pivotFields count="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6"/>
  </rowFields>
  <rowItems count="2">
    <i>
      <x/>
    </i>
    <i>
      <x v="1"/>
    </i>
  </rowItems>
  <colItems count="1">
    <i/>
  </colItems>
  <dataFields count="1">
    <dataField name="Cuenta de Genre" fld="6" subtotal="count" showDataAs="percentOfTotal" baseField="0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03C22B-09A6-42BF-B8E1-82E76722E32A}" name="TablaDinámica36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3:B15" firstHeaderRow="1" firstDataRow="1" firstDataCol="1"/>
  <pivotFields count="9">
    <pivotField showAll="0">
      <items count="351">
        <item x="242"/>
        <item x="117"/>
        <item x="299"/>
        <item x="269"/>
        <item x="341"/>
        <item x="94"/>
        <item x="187"/>
        <item x="270"/>
        <item x="315"/>
        <item x="239"/>
        <item x="87"/>
        <item x="111"/>
        <item x="318"/>
        <item x="17"/>
        <item x="264"/>
        <item x="232"/>
        <item x="231"/>
        <item x="234"/>
        <item x="250"/>
        <item x="182"/>
        <item x="168"/>
        <item x="214"/>
        <item x="159"/>
        <item x="46"/>
        <item x="277"/>
        <item x="85"/>
        <item x="225"/>
        <item x="236"/>
        <item x="148"/>
        <item x="83"/>
        <item x="293"/>
        <item x="217"/>
        <item x="219"/>
        <item x="261"/>
        <item x="6"/>
        <item x="86"/>
        <item x="274"/>
        <item x="108"/>
        <item x="248"/>
        <item x="326"/>
        <item x="204"/>
        <item x="53"/>
        <item x="258"/>
        <item x="38"/>
        <item x="313"/>
        <item x="227"/>
        <item x="228"/>
        <item x="58"/>
        <item x="180"/>
        <item x="174"/>
        <item x="39"/>
        <item x="72"/>
        <item x="116"/>
        <item x="218"/>
        <item x="69"/>
        <item x="74"/>
        <item x="167"/>
        <item x="166"/>
        <item x="21"/>
        <item x="199"/>
        <item x="338"/>
        <item x="151"/>
        <item x="189"/>
        <item x="49"/>
        <item x="158"/>
        <item x="30"/>
        <item x="319"/>
        <item x="285"/>
        <item x="310"/>
        <item x="328"/>
        <item x="335"/>
        <item x="317"/>
        <item x="257"/>
        <item x="235"/>
        <item x="66"/>
        <item x="47"/>
        <item x="43"/>
        <item x="100"/>
        <item x="14"/>
        <item x="15"/>
        <item x="295"/>
        <item x="224"/>
        <item x="247"/>
        <item x="260"/>
        <item x="314"/>
        <item x="124"/>
        <item x="126"/>
        <item x="123"/>
        <item x="129"/>
        <item x="300"/>
        <item x="190"/>
        <item x="75"/>
        <item x="203"/>
        <item x="79"/>
        <item x="103"/>
        <item x="89"/>
        <item x="172"/>
        <item x="216"/>
        <item x="342"/>
        <item x="298"/>
        <item x="40"/>
        <item x="215"/>
        <item x="96"/>
        <item x="36"/>
        <item x="121"/>
        <item x="331"/>
        <item x="27"/>
        <item x="278"/>
        <item x="140"/>
        <item x="200"/>
        <item x="212"/>
        <item x="346"/>
        <item x="254"/>
        <item x="175"/>
        <item x="240"/>
        <item x="238"/>
        <item x="340"/>
        <item x="289"/>
        <item x="249"/>
        <item x="229"/>
        <item x="246"/>
        <item x="32"/>
        <item x="93"/>
        <item x="243"/>
        <item x="321"/>
        <item x="184"/>
        <item x="348"/>
        <item x="177"/>
        <item x="233"/>
        <item x="171"/>
        <item x="332"/>
        <item x="41"/>
        <item x="273"/>
        <item x="197"/>
        <item x="107"/>
        <item x="150"/>
        <item x="104"/>
        <item x="309"/>
        <item x="343"/>
        <item x="91"/>
        <item x="208"/>
        <item x="173"/>
        <item x="279"/>
        <item x="160"/>
        <item x="137"/>
        <item x="97"/>
        <item x="192"/>
        <item x="226"/>
        <item x="251"/>
        <item x="323"/>
        <item x="176"/>
        <item x="302"/>
        <item x="164"/>
        <item x="169"/>
        <item x="291"/>
        <item x="308"/>
        <item x="23"/>
        <item x="65"/>
        <item x="76"/>
        <item x="206"/>
        <item x="296"/>
        <item x="195"/>
        <item x="119"/>
        <item x="188"/>
        <item x="306"/>
        <item x="207"/>
        <item x="275"/>
        <item x="31"/>
        <item x="241"/>
        <item x="290"/>
        <item x="201"/>
        <item x="52"/>
        <item x="347"/>
        <item x="339"/>
        <item x="13"/>
        <item x="256"/>
        <item x="138"/>
        <item x="288"/>
        <item x="125"/>
        <item x="222"/>
        <item x="19"/>
        <item x="114"/>
        <item x="292"/>
        <item x="271"/>
        <item x="186"/>
        <item x="4"/>
        <item x="303"/>
        <item x="84"/>
        <item x="272"/>
        <item x="262"/>
        <item x="130"/>
        <item x="10"/>
        <item x="286"/>
        <item x="135"/>
        <item x="71"/>
        <item x="268"/>
        <item x="162"/>
        <item x="202"/>
        <item x="307"/>
        <item x="61"/>
        <item x="297"/>
        <item x="220"/>
        <item x="78"/>
        <item x="320"/>
        <item x="179"/>
        <item x="42"/>
        <item x="181"/>
        <item x="99"/>
        <item x="334"/>
        <item x="16"/>
        <item x="37"/>
        <item x="73"/>
        <item x="155"/>
        <item x="82"/>
        <item x="115"/>
        <item x="106"/>
        <item x="64"/>
        <item x="34"/>
        <item x="7"/>
        <item x="183"/>
        <item x="144"/>
        <item x="54"/>
        <item x="62"/>
        <item x="198"/>
        <item x="147"/>
        <item x="329"/>
        <item x="44"/>
        <item x="154"/>
        <item x="196"/>
        <item x="185"/>
        <item x="136"/>
        <item x="105"/>
        <item x="301"/>
        <item x="63"/>
        <item x="263"/>
        <item x="88"/>
        <item x="161"/>
        <item x="118"/>
        <item x="33"/>
        <item x="122"/>
        <item x="29"/>
        <item x="45"/>
        <item x="153"/>
        <item x="282"/>
        <item x="209"/>
        <item x="56"/>
        <item x="57"/>
        <item x="11"/>
        <item x="3"/>
        <item x="255"/>
        <item x="149"/>
        <item x="131"/>
        <item x="327"/>
        <item x="9"/>
        <item x="266"/>
        <item x="132"/>
        <item x="305"/>
        <item x="1"/>
        <item x="165"/>
        <item x="50"/>
        <item x="90"/>
        <item x="92"/>
        <item x="55"/>
        <item x="281"/>
        <item x="20"/>
        <item x="18"/>
        <item x="170"/>
        <item x="110"/>
        <item x="213"/>
        <item x="101"/>
        <item x="59"/>
        <item x="8"/>
        <item x="35"/>
        <item x="253"/>
        <item x="142"/>
        <item x="211"/>
        <item x="193"/>
        <item x="316"/>
        <item x="349"/>
        <item x="210"/>
        <item x="81"/>
        <item x="265"/>
        <item x="112"/>
        <item x="178"/>
        <item x="230"/>
        <item x="143"/>
        <item x="322"/>
        <item x="311"/>
        <item x="276"/>
        <item x="133"/>
        <item x="304"/>
        <item x="128"/>
        <item x="68"/>
        <item x="80"/>
        <item x="145"/>
        <item x="0"/>
        <item x="70"/>
        <item x="325"/>
        <item x="109"/>
        <item x="267"/>
        <item x="284"/>
        <item x="141"/>
        <item x="120"/>
        <item x="25"/>
        <item x="26"/>
        <item x="330"/>
        <item x="24"/>
        <item x="60"/>
        <item x="336"/>
        <item x="157"/>
        <item x="221"/>
        <item x="252"/>
        <item x="294"/>
        <item x="223"/>
        <item x="163"/>
        <item x="95"/>
        <item x="280"/>
        <item x="146"/>
        <item x="28"/>
        <item x="191"/>
        <item x="102"/>
        <item x="152"/>
        <item x="287"/>
        <item x="67"/>
        <item x="48"/>
        <item x="2"/>
        <item x="205"/>
        <item x="51"/>
        <item x="12"/>
        <item x="345"/>
        <item x="344"/>
        <item x="259"/>
        <item x="22"/>
        <item x="98"/>
        <item x="283"/>
        <item x="194"/>
        <item x="237"/>
        <item x="337"/>
        <item x="113"/>
        <item x="139"/>
        <item x="245"/>
        <item x="324"/>
        <item x="5"/>
        <item x="312"/>
        <item x="127"/>
        <item x="134"/>
        <item x="77"/>
        <item x="156"/>
        <item x="333"/>
        <item x="244"/>
        <item t="default"/>
      </items>
    </pivotField>
    <pivotField showAll="0">
      <items count="249">
        <item x="43"/>
        <item x="205"/>
        <item x="71"/>
        <item x="239"/>
        <item x="194"/>
        <item x="185"/>
        <item x="17"/>
        <item x="231"/>
        <item x="147"/>
        <item x="124"/>
        <item x="121"/>
        <item x="9"/>
        <item x="190"/>
        <item x="214"/>
        <item x="241"/>
        <item x="150"/>
        <item x="165"/>
        <item x="217"/>
        <item x="86"/>
        <item x="192"/>
        <item x="229"/>
        <item x="130"/>
        <item x="154"/>
        <item x="19"/>
        <item x="140"/>
        <item x="233"/>
        <item x="193"/>
        <item x="72"/>
        <item x="35"/>
        <item x="162"/>
        <item x="225"/>
        <item x="127"/>
        <item x="129"/>
        <item x="125"/>
        <item x="183"/>
        <item x="143"/>
        <item x="209"/>
        <item x="31"/>
        <item x="98"/>
        <item x="119"/>
        <item x="94"/>
        <item x="177"/>
        <item x="52"/>
        <item x="55"/>
        <item x="152"/>
        <item x="181"/>
        <item x="134"/>
        <item x="78"/>
        <item x="163"/>
        <item x="207"/>
        <item x="245"/>
        <item x="132"/>
        <item x="7"/>
        <item x="48"/>
        <item x="133"/>
        <item x="70"/>
        <item x="82"/>
        <item x="202"/>
        <item x="234"/>
        <item x="232"/>
        <item x="198"/>
        <item x="159"/>
        <item x="142"/>
        <item x="51"/>
        <item x="34"/>
        <item x="195"/>
        <item x="184"/>
        <item x="230"/>
        <item x="238"/>
        <item x="146"/>
        <item x="112"/>
        <item x="109"/>
        <item x="61"/>
        <item x="93"/>
        <item x="222"/>
        <item x="117"/>
        <item x="92"/>
        <item x="95"/>
        <item x="106"/>
        <item x="37"/>
        <item x="180"/>
        <item x="14"/>
        <item x="176"/>
        <item x="115"/>
        <item x="81"/>
        <item x="188"/>
        <item x="59"/>
        <item x="96"/>
        <item x="30"/>
        <item x="166"/>
        <item x="11"/>
        <item x="41"/>
        <item x="36"/>
        <item x="141"/>
        <item x="56"/>
        <item x="189"/>
        <item x="69"/>
        <item x="77"/>
        <item x="50"/>
        <item x="153"/>
        <item x="90"/>
        <item x="32"/>
        <item x="203"/>
        <item x="21"/>
        <item x="111"/>
        <item x="85"/>
        <item x="201"/>
        <item x="236"/>
        <item x="246"/>
        <item x="128"/>
        <item x="62"/>
        <item x="169"/>
        <item x="172"/>
        <item x="101"/>
        <item x="226"/>
        <item x="138"/>
        <item x="33"/>
        <item x="199"/>
        <item x="83"/>
        <item x="16"/>
        <item x="170"/>
        <item x="221"/>
        <item x="215"/>
        <item x="20"/>
        <item x="168"/>
        <item x="218"/>
        <item x="75"/>
        <item x="157"/>
        <item x="91"/>
        <item x="46"/>
        <item x="58"/>
        <item x="107"/>
        <item x="65"/>
        <item x="97"/>
        <item x="212"/>
        <item x="23"/>
        <item x="57"/>
        <item x="1"/>
        <item x="47"/>
        <item x="99"/>
        <item x="224"/>
        <item x="116"/>
        <item x="149"/>
        <item x="64"/>
        <item x="40"/>
        <item x="200"/>
        <item x="178"/>
        <item x="182"/>
        <item x="240"/>
        <item x="227"/>
        <item x="4"/>
        <item x="186"/>
        <item x="197"/>
        <item x="151"/>
        <item x="160"/>
        <item x="108"/>
        <item x="187"/>
        <item x="102"/>
        <item x="18"/>
        <item x="63"/>
        <item x="113"/>
        <item x="164"/>
        <item x="8"/>
        <item x="5"/>
        <item x="158"/>
        <item x="45"/>
        <item x="54"/>
        <item x="213"/>
        <item x="206"/>
        <item x="87"/>
        <item x="24"/>
        <item x="25"/>
        <item x="216"/>
        <item x="237"/>
        <item x="242"/>
        <item x="196"/>
        <item x="220"/>
        <item x="22"/>
        <item x="123"/>
        <item x="171"/>
        <item x="148"/>
        <item x="84"/>
        <item x="131"/>
        <item x="204"/>
        <item x="66"/>
        <item x="126"/>
        <item x="88"/>
        <item x="235"/>
        <item x="114"/>
        <item x="211"/>
        <item x="244"/>
        <item x="139"/>
        <item x="15"/>
        <item x="173"/>
        <item x="42"/>
        <item x="105"/>
        <item x="144"/>
        <item x="13"/>
        <item x="89"/>
        <item x="120"/>
        <item x="49"/>
        <item x="135"/>
        <item x="155"/>
        <item x="136"/>
        <item x="175"/>
        <item x="167"/>
        <item x="118"/>
        <item x="219"/>
        <item x="179"/>
        <item x="73"/>
        <item x="28"/>
        <item x="67"/>
        <item x="174"/>
        <item x="161"/>
        <item x="210"/>
        <item x="104"/>
        <item x="122"/>
        <item x="243"/>
        <item x="27"/>
        <item x="10"/>
        <item x="6"/>
        <item x="2"/>
        <item x="12"/>
        <item x="29"/>
        <item x="3"/>
        <item x="100"/>
        <item x="39"/>
        <item x="156"/>
        <item x="208"/>
        <item x="44"/>
        <item x="60"/>
        <item x="223"/>
        <item x="247"/>
        <item x="79"/>
        <item x="145"/>
        <item x="137"/>
        <item x="80"/>
        <item x="76"/>
        <item x="68"/>
        <item x="53"/>
        <item x="228"/>
        <item x="110"/>
        <item x="26"/>
        <item x="74"/>
        <item x="103"/>
        <item x="0"/>
        <item x="191"/>
        <item x="38"/>
        <item t="default"/>
      </items>
    </pivotField>
    <pivotField showAll="0"/>
    <pivotField showAll="0"/>
    <pivotField numFmtId="164" showAll="0">
      <items count="41">
        <item x="28"/>
        <item x="25"/>
        <item x="3"/>
        <item x="39"/>
        <item x="21"/>
        <item x="24"/>
        <item x="1"/>
        <item x="11"/>
        <item x="0"/>
        <item x="2"/>
        <item x="8"/>
        <item x="19"/>
        <item x="14"/>
        <item x="5"/>
        <item x="18"/>
        <item x="15"/>
        <item x="10"/>
        <item x="13"/>
        <item x="12"/>
        <item x="7"/>
        <item x="4"/>
        <item x="27"/>
        <item x="32"/>
        <item x="33"/>
        <item x="6"/>
        <item x="22"/>
        <item x="20"/>
        <item x="26"/>
        <item x="30"/>
        <item x="31"/>
        <item x="38"/>
        <item x="35"/>
        <item x="29"/>
        <item x="16"/>
        <item x="9"/>
        <item x="36"/>
        <item x="23"/>
        <item x="37"/>
        <item x="17"/>
        <item x="34"/>
        <item t="default"/>
      </items>
    </pivotField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dataField="1" numFmtId="164" showAll="0">
      <items count="353">
        <item x="70"/>
        <item x="49"/>
        <item x="47"/>
        <item x="87"/>
        <item x="84"/>
        <item x="182"/>
        <item x="86"/>
        <item x="46"/>
        <item x="88"/>
        <item x="39"/>
        <item x="48"/>
        <item x="85"/>
        <item x="45"/>
        <item x="32"/>
        <item x="89"/>
        <item x="118"/>
        <item x="41"/>
        <item x="266"/>
        <item x="36"/>
        <item x="238"/>
        <item x="79"/>
        <item x="315"/>
        <item x="82"/>
        <item x="83"/>
        <item x="208"/>
        <item x="181"/>
        <item x="43"/>
        <item x="180"/>
        <item x="78"/>
        <item x="75"/>
        <item x="77"/>
        <item x="122"/>
        <item x="76"/>
        <item x="177"/>
        <item x="40"/>
        <item x="72"/>
        <item x="230"/>
        <item x="293"/>
        <item x="80"/>
        <item x="235"/>
        <item x="234"/>
        <item x="71"/>
        <item x="316"/>
        <item x="291"/>
        <item x="287"/>
        <item x="29"/>
        <item x="231"/>
        <item x="237"/>
        <item x="324"/>
        <item x="34"/>
        <item x="33"/>
        <item x="239"/>
        <item x="3"/>
        <item x="121"/>
        <item x="35"/>
        <item x="38"/>
        <item x="25"/>
        <item x="146"/>
        <item x="42"/>
        <item x="346"/>
        <item x="74"/>
        <item x="73"/>
        <item x="149"/>
        <item x="147"/>
        <item x="319"/>
        <item x="228"/>
        <item x="240"/>
        <item x="68"/>
        <item x="259"/>
        <item x="227"/>
        <item x="209"/>
        <item x="166"/>
        <item x="106"/>
        <item x="37"/>
        <item x="311"/>
        <item x="267"/>
        <item x="115"/>
        <item x="120"/>
        <item x="320"/>
        <item x="150"/>
        <item x="26"/>
        <item x="232"/>
        <item x="18"/>
        <item x="318"/>
        <item x="351"/>
        <item x="61"/>
        <item x="20"/>
        <item x="69"/>
        <item x="28"/>
        <item x="30"/>
        <item x="286"/>
        <item x="348"/>
        <item x="14"/>
        <item x="257"/>
        <item x="340"/>
        <item x="66"/>
        <item x="116"/>
        <item x="263"/>
        <item x="252"/>
        <item x="111"/>
        <item x="224"/>
        <item x="148"/>
        <item x="280"/>
        <item x="143"/>
        <item x="141"/>
        <item x="119"/>
        <item x="179"/>
        <item x="309"/>
        <item x="44"/>
        <item x="60"/>
        <item x="176"/>
        <item x="63"/>
        <item x="206"/>
        <item x="260"/>
        <item x="317"/>
        <item x="236"/>
        <item x="67"/>
        <item x="233"/>
        <item x="81"/>
        <item x="27"/>
        <item x="226"/>
        <item x="278"/>
        <item x="314"/>
        <item x="142"/>
        <item x="285"/>
        <item x="65"/>
        <item x="117"/>
        <item x="283"/>
        <item x="178"/>
        <item x="255"/>
        <item x="58"/>
        <item x="304"/>
        <item x="19"/>
        <item x="220"/>
        <item x="112"/>
        <item x="205"/>
        <item x="218"/>
        <item x="336"/>
        <item x="13"/>
        <item x="174"/>
        <item x="103"/>
        <item x="23"/>
        <item x="21"/>
        <item x="199"/>
        <item x="204"/>
        <item x="62"/>
        <item x="114"/>
        <item x="175"/>
        <item x="145"/>
        <item x="333"/>
        <item x="144"/>
        <item x="321"/>
        <item x="59"/>
        <item x="292"/>
        <item x="201"/>
        <item x="200"/>
        <item x="323"/>
        <item x="57"/>
        <item x="347"/>
        <item x="264"/>
        <item x="196"/>
        <item x="275"/>
        <item x="265"/>
        <item x="334"/>
        <item x="194"/>
        <item x="162"/>
        <item x="289"/>
        <item x="282"/>
        <item x="276"/>
        <item x="105"/>
        <item x="202"/>
        <item x="337"/>
        <item x="335"/>
        <item x="229"/>
        <item x="262"/>
        <item x="173"/>
        <item x="302"/>
        <item x="31"/>
        <item x="170"/>
        <item x="313"/>
        <item x="163"/>
        <item x="207"/>
        <item x="197"/>
        <item x="133"/>
        <item x="169"/>
        <item x="301"/>
        <item x="322"/>
        <item x="1"/>
        <item x="172"/>
        <item x="100"/>
        <item x="222"/>
        <item x="350"/>
        <item x="279"/>
        <item x="345"/>
        <item x="17"/>
        <item x="349"/>
        <item x="251"/>
        <item x="164"/>
        <item x="9"/>
        <item x="98"/>
        <item x="16"/>
        <item x="341"/>
        <item x="256"/>
        <item x="338"/>
        <item x="288"/>
        <item x="344"/>
        <item x="343"/>
        <item x="192"/>
        <item x="99"/>
        <item x="290"/>
        <item x="110"/>
        <item x="310"/>
        <item x="109"/>
        <item x="95"/>
        <item x="108"/>
        <item x="64"/>
        <item x="158"/>
        <item x="167"/>
        <item x="225"/>
        <item x="284"/>
        <item x="15"/>
        <item x="330"/>
        <item x="261"/>
        <item x="2"/>
        <item x="165"/>
        <item x="107"/>
        <item x="193"/>
        <item x="339"/>
        <item x="101"/>
        <item x="171"/>
        <item x="56"/>
        <item x="306"/>
        <item x="94"/>
        <item x="104"/>
        <item x="277"/>
        <item x="138"/>
        <item x="140"/>
        <item x="248"/>
        <item x="332"/>
        <item x="11"/>
        <item x="54"/>
        <item x="254"/>
        <item x="312"/>
        <item x="223"/>
        <item x="295"/>
        <item x="55"/>
        <item x="6"/>
        <item x="271"/>
        <item x="5"/>
        <item x="221"/>
        <item x="113"/>
        <item x="12"/>
        <item x="132"/>
        <item x="161"/>
        <item x="298"/>
        <item x="246"/>
        <item x="155"/>
        <item x="96"/>
        <item x="342"/>
        <item x="154"/>
        <item x="245"/>
        <item x="281"/>
        <item x="216"/>
        <item x="203"/>
        <item x="134"/>
        <item x="331"/>
        <item x="303"/>
        <item x="308"/>
        <item x="102"/>
        <item x="91"/>
        <item x="0"/>
        <item x="93"/>
        <item x="307"/>
        <item x="198"/>
        <item x="160"/>
        <item x="22"/>
        <item x="136"/>
        <item x="126"/>
        <item x="8"/>
        <item x="219"/>
        <item x="127"/>
        <item x="305"/>
        <item x="327"/>
        <item x="329"/>
        <item x="243"/>
        <item x="249"/>
        <item x="157"/>
        <item x="137"/>
        <item x="214"/>
        <item x="159"/>
        <item x="268"/>
        <item x="4"/>
        <item x="97"/>
        <item x="52"/>
        <item x="139"/>
        <item x="247"/>
        <item x="253"/>
        <item x="128"/>
        <item x="7"/>
        <item x="135"/>
        <item x="190"/>
        <item x="273"/>
        <item x="53"/>
        <item x="215"/>
        <item x="195"/>
        <item x="90"/>
        <item x="130"/>
        <item x="299"/>
        <item x="270"/>
        <item x="188"/>
        <item x="189"/>
        <item x="217"/>
        <item x="300"/>
        <item x="242"/>
        <item x="328"/>
        <item x="272"/>
        <item x="129"/>
        <item x="297"/>
        <item x="24"/>
        <item x="258"/>
        <item x="184"/>
        <item x="212"/>
        <item x="213"/>
        <item x="326"/>
        <item x="187"/>
        <item x="10"/>
        <item x="269"/>
        <item x="153"/>
        <item x="152"/>
        <item x="156"/>
        <item x="296"/>
        <item x="131"/>
        <item x="50"/>
        <item x="274"/>
        <item x="51"/>
        <item x="92"/>
        <item x="185"/>
        <item x="183"/>
        <item x="211"/>
        <item x="241"/>
        <item x="123"/>
        <item x="244"/>
        <item x="191"/>
        <item x="124"/>
        <item x="125"/>
        <item x="294"/>
        <item x="151"/>
        <item x="250"/>
        <item x="168"/>
        <item x="325"/>
        <item x="186"/>
        <item x="210"/>
        <item t="default"/>
      </items>
    </pivotField>
    <pivotField showAll="0"/>
  </pivotFields>
  <rowFields count="1">
    <field x="5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a de Sales_Per_Reviews" fld="7" showDataAs="percentOfTotal" baseField="0" baseItem="0" numFmtId="10"/>
  </dataFields>
  <formats count="4">
    <format dxfId="8">
      <pivotArea collapsedLevelsAreSubtotals="1" fieldPosition="0">
        <references count="1">
          <reference field="5" count="1">
            <x v="0"/>
          </reference>
        </references>
      </pivotArea>
    </format>
    <format dxfId="7">
      <pivotArea outline="0" collapsedLevelsAreSubtotals="1" fieldPosition="0"/>
    </format>
    <format dxfId="6">
      <pivotArea dataOnly="0" labelOnly="1" outline="0" axis="axisValues" fieldPosition="0"/>
    </format>
    <format dxfId="5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1005C2-0922-47A1-A4A5-2519D3720483}" name="TablaDinámica7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K4:L36" firstHeaderRow="1" firstDataRow="1" firstDataCol="1"/>
  <pivotFields count="9">
    <pivotField axis="axisRow" showAll="0">
      <items count="351">
        <item x="242"/>
        <item x="117"/>
        <item x="299"/>
        <item x="269"/>
        <item x="341"/>
        <item x="94"/>
        <item x="187"/>
        <item x="270"/>
        <item x="315"/>
        <item x="239"/>
        <item x="87"/>
        <item x="111"/>
        <item x="318"/>
        <item x="17"/>
        <item x="264"/>
        <item x="232"/>
        <item x="231"/>
        <item x="234"/>
        <item x="250"/>
        <item x="182"/>
        <item x="168"/>
        <item x="214"/>
        <item x="159"/>
        <item x="46"/>
        <item x="277"/>
        <item x="85"/>
        <item x="225"/>
        <item x="236"/>
        <item x="148"/>
        <item x="83"/>
        <item x="293"/>
        <item x="217"/>
        <item x="219"/>
        <item x="261"/>
        <item x="6"/>
        <item x="86"/>
        <item x="274"/>
        <item x="108"/>
        <item x="248"/>
        <item x="326"/>
        <item x="204"/>
        <item x="53"/>
        <item x="258"/>
        <item x="38"/>
        <item x="313"/>
        <item x="227"/>
        <item x="228"/>
        <item x="58"/>
        <item x="180"/>
        <item x="174"/>
        <item x="39"/>
        <item x="72"/>
        <item x="116"/>
        <item x="218"/>
        <item x="69"/>
        <item x="74"/>
        <item x="167"/>
        <item x="166"/>
        <item x="21"/>
        <item x="199"/>
        <item x="338"/>
        <item x="151"/>
        <item x="189"/>
        <item x="49"/>
        <item x="158"/>
        <item x="30"/>
        <item x="319"/>
        <item x="285"/>
        <item x="310"/>
        <item x="328"/>
        <item x="335"/>
        <item x="317"/>
        <item x="257"/>
        <item x="235"/>
        <item x="66"/>
        <item x="47"/>
        <item x="43"/>
        <item x="100"/>
        <item x="14"/>
        <item x="15"/>
        <item x="295"/>
        <item x="224"/>
        <item x="247"/>
        <item x="260"/>
        <item x="314"/>
        <item x="124"/>
        <item x="126"/>
        <item x="123"/>
        <item x="129"/>
        <item x="300"/>
        <item x="190"/>
        <item x="75"/>
        <item x="203"/>
        <item x="79"/>
        <item x="103"/>
        <item x="89"/>
        <item x="172"/>
        <item x="216"/>
        <item x="342"/>
        <item x="298"/>
        <item x="40"/>
        <item x="215"/>
        <item x="96"/>
        <item x="36"/>
        <item x="121"/>
        <item x="331"/>
        <item x="27"/>
        <item x="278"/>
        <item x="140"/>
        <item x="200"/>
        <item x="212"/>
        <item x="346"/>
        <item x="254"/>
        <item x="175"/>
        <item x="240"/>
        <item x="238"/>
        <item x="340"/>
        <item x="289"/>
        <item x="249"/>
        <item x="229"/>
        <item x="246"/>
        <item x="32"/>
        <item x="93"/>
        <item x="243"/>
        <item x="321"/>
        <item x="184"/>
        <item x="348"/>
        <item x="177"/>
        <item x="233"/>
        <item x="171"/>
        <item x="332"/>
        <item x="41"/>
        <item x="273"/>
        <item x="197"/>
        <item x="107"/>
        <item x="150"/>
        <item x="104"/>
        <item x="309"/>
        <item x="343"/>
        <item x="91"/>
        <item x="208"/>
        <item x="173"/>
        <item x="279"/>
        <item x="160"/>
        <item x="137"/>
        <item x="97"/>
        <item x="192"/>
        <item x="226"/>
        <item x="251"/>
        <item x="323"/>
        <item x="176"/>
        <item x="302"/>
        <item x="164"/>
        <item x="169"/>
        <item x="291"/>
        <item x="308"/>
        <item x="23"/>
        <item x="65"/>
        <item x="76"/>
        <item x="206"/>
        <item x="296"/>
        <item x="195"/>
        <item x="119"/>
        <item x="188"/>
        <item x="306"/>
        <item x="207"/>
        <item x="275"/>
        <item x="31"/>
        <item x="241"/>
        <item x="290"/>
        <item x="201"/>
        <item x="52"/>
        <item x="347"/>
        <item x="339"/>
        <item x="13"/>
        <item x="256"/>
        <item x="138"/>
        <item x="288"/>
        <item x="125"/>
        <item x="222"/>
        <item x="19"/>
        <item x="114"/>
        <item x="292"/>
        <item x="271"/>
        <item x="186"/>
        <item x="4"/>
        <item x="303"/>
        <item x="84"/>
        <item x="272"/>
        <item x="262"/>
        <item x="130"/>
        <item x="10"/>
        <item x="286"/>
        <item x="135"/>
        <item x="71"/>
        <item x="268"/>
        <item x="162"/>
        <item x="202"/>
        <item x="307"/>
        <item x="61"/>
        <item x="297"/>
        <item x="220"/>
        <item x="78"/>
        <item x="320"/>
        <item x="179"/>
        <item x="42"/>
        <item x="181"/>
        <item x="99"/>
        <item x="334"/>
        <item x="16"/>
        <item x="37"/>
        <item x="73"/>
        <item x="155"/>
        <item x="82"/>
        <item x="115"/>
        <item x="106"/>
        <item x="64"/>
        <item x="34"/>
        <item x="7"/>
        <item x="183"/>
        <item x="144"/>
        <item x="54"/>
        <item x="62"/>
        <item x="198"/>
        <item x="147"/>
        <item x="329"/>
        <item x="44"/>
        <item x="154"/>
        <item x="196"/>
        <item x="185"/>
        <item x="136"/>
        <item x="105"/>
        <item x="301"/>
        <item x="63"/>
        <item x="263"/>
        <item x="88"/>
        <item x="161"/>
        <item x="118"/>
        <item x="33"/>
        <item x="122"/>
        <item x="29"/>
        <item x="45"/>
        <item x="153"/>
        <item x="282"/>
        <item x="209"/>
        <item x="56"/>
        <item x="57"/>
        <item x="11"/>
        <item x="3"/>
        <item x="255"/>
        <item x="149"/>
        <item x="131"/>
        <item x="327"/>
        <item x="9"/>
        <item x="266"/>
        <item x="132"/>
        <item x="305"/>
        <item x="1"/>
        <item x="165"/>
        <item x="50"/>
        <item x="90"/>
        <item x="92"/>
        <item x="55"/>
        <item x="281"/>
        <item x="20"/>
        <item x="18"/>
        <item x="170"/>
        <item x="110"/>
        <item x="213"/>
        <item x="101"/>
        <item x="59"/>
        <item x="8"/>
        <item x="35"/>
        <item x="253"/>
        <item x="142"/>
        <item x="211"/>
        <item x="193"/>
        <item x="316"/>
        <item x="349"/>
        <item x="210"/>
        <item x="81"/>
        <item x="265"/>
        <item x="112"/>
        <item x="178"/>
        <item x="230"/>
        <item x="143"/>
        <item x="322"/>
        <item x="311"/>
        <item x="276"/>
        <item x="133"/>
        <item x="304"/>
        <item x="128"/>
        <item x="68"/>
        <item x="80"/>
        <item x="145"/>
        <item x="0"/>
        <item x="70"/>
        <item x="325"/>
        <item x="109"/>
        <item x="267"/>
        <item x="284"/>
        <item x="141"/>
        <item x="120"/>
        <item x="25"/>
        <item x="26"/>
        <item x="330"/>
        <item x="24"/>
        <item x="60"/>
        <item x="336"/>
        <item x="157"/>
        <item x="221"/>
        <item x="252"/>
        <item x="294"/>
        <item x="223"/>
        <item x="163"/>
        <item x="95"/>
        <item x="280"/>
        <item x="146"/>
        <item x="28"/>
        <item x="191"/>
        <item x="102"/>
        <item x="152"/>
        <item x="287"/>
        <item x="67"/>
        <item x="48"/>
        <item x="2"/>
        <item x="205"/>
        <item x="51"/>
        <item x="12"/>
        <item x="345"/>
        <item x="344"/>
        <item x="259"/>
        <item x="22"/>
        <item x="98"/>
        <item x="283"/>
        <item x="194"/>
        <item x="237"/>
        <item x="337"/>
        <item x="113"/>
        <item x="139"/>
        <item x="245"/>
        <item x="324"/>
        <item x="5"/>
        <item x="312"/>
        <item x="127"/>
        <item x="134"/>
        <item x="77"/>
        <item x="156"/>
        <item x="333"/>
        <item x="244"/>
        <item t="default"/>
      </items>
    </pivotField>
    <pivotField axis="axisRow" showAll="0" measureFilter="1">
      <items count="249">
        <item x="43"/>
        <item x="205"/>
        <item x="71"/>
        <item x="239"/>
        <item x="194"/>
        <item x="185"/>
        <item x="17"/>
        <item x="231"/>
        <item x="147"/>
        <item x="124"/>
        <item x="121"/>
        <item x="9"/>
        <item x="190"/>
        <item x="214"/>
        <item x="241"/>
        <item x="150"/>
        <item x="165"/>
        <item x="217"/>
        <item x="86"/>
        <item x="192"/>
        <item x="229"/>
        <item x="130"/>
        <item x="154"/>
        <item x="19"/>
        <item x="140"/>
        <item x="233"/>
        <item x="193"/>
        <item x="72"/>
        <item x="35"/>
        <item x="162"/>
        <item x="225"/>
        <item x="127"/>
        <item x="129"/>
        <item x="125"/>
        <item x="183"/>
        <item x="143"/>
        <item x="209"/>
        <item x="31"/>
        <item x="98"/>
        <item x="119"/>
        <item x="94"/>
        <item x="177"/>
        <item x="52"/>
        <item x="55"/>
        <item x="152"/>
        <item x="181"/>
        <item x="134"/>
        <item x="78"/>
        <item x="163"/>
        <item x="207"/>
        <item x="245"/>
        <item x="132"/>
        <item x="7"/>
        <item x="48"/>
        <item x="133"/>
        <item x="70"/>
        <item x="82"/>
        <item x="202"/>
        <item x="234"/>
        <item x="232"/>
        <item x="198"/>
        <item x="159"/>
        <item x="142"/>
        <item x="51"/>
        <item x="34"/>
        <item x="195"/>
        <item x="184"/>
        <item x="230"/>
        <item x="238"/>
        <item x="146"/>
        <item x="112"/>
        <item x="109"/>
        <item x="61"/>
        <item x="93"/>
        <item x="222"/>
        <item x="117"/>
        <item x="92"/>
        <item x="95"/>
        <item x="106"/>
        <item x="37"/>
        <item x="180"/>
        <item x="14"/>
        <item x="176"/>
        <item x="115"/>
        <item x="81"/>
        <item x="188"/>
        <item x="59"/>
        <item x="96"/>
        <item x="30"/>
        <item x="166"/>
        <item x="11"/>
        <item x="41"/>
        <item x="36"/>
        <item x="141"/>
        <item x="56"/>
        <item x="189"/>
        <item x="69"/>
        <item x="77"/>
        <item x="50"/>
        <item x="153"/>
        <item x="90"/>
        <item x="32"/>
        <item x="203"/>
        <item x="21"/>
        <item x="111"/>
        <item x="85"/>
        <item x="201"/>
        <item x="236"/>
        <item x="246"/>
        <item x="128"/>
        <item x="62"/>
        <item x="169"/>
        <item x="172"/>
        <item x="101"/>
        <item x="226"/>
        <item x="138"/>
        <item x="33"/>
        <item x="199"/>
        <item x="83"/>
        <item x="16"/>
        <item x="170"/>
        <item x="221"/>
        <item x="215"/>
        <item x="20"/>
        <item x="168"/>
        <item x="218"/>
        <item x="75"/>
        <item x="157"/>
        <item x="91"/>
        <item x="46"/>
        <item x="58"/>
        <item x="107"/>
        <item x="65"/>
        <item x="97"/>
        <item x="212"/>
        <item x="23"/>
        <item x="57"/>
        <item x="1"/>
        <item x="47"/>
        <item x="99"/>
        <item x="224"/>
        <item x="116"/>
        <item x="149"/>
        <item x="64"/>
        <item x="40"/>
        <item x="200"/>
        <item x="178"/>
        <item x="182"/>
        <item x="240"/>
        <item x="227"/>
        <item x="4"/>
        <item x="186"/>
        <item x="197"/>
        <item x="151"/>
        <item x="160"/>
        <item x="108"/>
        <item x="187"/>
        <item x="102"/>
        <item x="18"/>
        <item x="63"/>
        <item x="113"/>
        <item x="164"/>
        <item x="8"/>
        <item x="5"/>
        <item x="158"/>
        <item x="45"/>
        <item x="54"/>
        <item x="213"/>
        <item x="206"/>
        <item x="87"/>
        <item x="24"/>
        <item x="25"/>
        <item x="216"/>
        <item x="237"/>
        <item x="242"/>
        <item x="196"/>
        <item x="220"/>
        <item x="22"/>
        <item x="123"/>
        <item x="171"/>
        <item x="148"/>
        <item x="84"/>
        <item x="131"/>
        <item x="204"/>
        <item x="66"/>
        <item x="126"/>
        <item x="88"/>
        <item x="235"/>
        <item x="114"/>
        <item x="211"/>
        <item x="244"/>
        <item x="139"/>
        <item x="15"/>
        <item x="173"/>
        <item x="42"/>
        <item x="105"/>
        <item x="144"/>
        <item x="13"/>
        <item x="89"/>
        <item x="120"/>
        <item x="49"/>
        <item x="135"/>
        <item x="155"/>
        <item x="136"/>
        <item x="175"/>
        <item x="167"/>
        <item x="118"/>
        <item x="219"/>
        <item x="179"/>
        <item x="73"/>
        <item x="28"/>
        <item x="67"/>
        <item x="174"/>
        <item x="161"/>
        <item x="210"/>
        <item x="104"/>
        <item x="122"/>
        <item x="243"/>
        <item x="27"/>
        <item x="10"/>
        <item x="6"/>
        <item x="2"/>
        <item x="12"/>
        <item x="29"/>
        <item x="3"/>
        <item x="100"/>
        <item x="39"/>
        <item x="156"/>
        <item x="208"/>
        <item x="44"/>
        <item x="60"/>
        <item x="223"/>
        <item x="247"/>
        <item x="79"/>
        <item x="145"/>
        <item x="137"/>
        <item x="80"/>
        <item x="76"/>
        <item x="68"/>
        <item x="53"/>
        <item x="228"/>
        <item x="110"/>
        <item x="26"/>
        <item x="74"/>
        <item x="103"/>
        <item x="0"/>
        <item x="191"/>
        <item x="38"/>
        <item t="default"/>
      </items>
    </pivotField>
    <pivotField showAll="0"/>
    <pivotField showAll="0"/>
    <pivotField numFmtId="164" showAll="0"/>
    <pivotField showAll="0"/>
    <pivotField showAll="0"/>
    <pivotField dataField="1" numFmtId="164" showAll="0"/>
    <pivotField showAll="0"/>
  </pivotFields>
  <rowFields count="2">
    <field x="1"/>
    <field x="0"/>
  </rowFields>
  <rowItems count="32">
    <i>
      <x v="10"/>
    </i>
    <i r="1">
      <x v="56"/>
    </i>
    <i>
      <x v="11"/>
    </i>
    <i r="1">
      <x v="191"/>
    </i>
    <i>
      <x v="73"/>
    </i>
    <i r="1">
      <x v="178"/>
    </i>
    <i r="1">
      <x v="336"/>
    </i>
    <i>
      <x v="76"/>
    </i>
    <i r="1">
      <x v="85"/>
    </i>
    <i r="1">
      <x v="86"/>
    </i>
    <i r="1">
      <x v="87"/>
    </i>
    <i r="1">
      <x v="88"/>
    </i>
    <i r="1">
      <x v="110"/>
    </i>
    <i>
      <x v="92"/>
    </i>
    <i r="1">
      <x v="216"/>
    </i>
    <i r="1">
      <x v="241"/>
    </i>
    <i>
      <x v="100"/>
    </i>
    <i r="1">
      <x v="104"/>
    </i>
    <i>
      <x v="128"/>
    </i>
    <i r="1">
      <x v="161"/>
    </i>
    <i r="1">
      <x v="239"/>
    </i>
    <i>
      <x v="144"/>
    </i>
    <i r="1">
      <x v="327"/>
    </i>
    <i>
      <x v="180"/>
    </i>
    <i r="1">
      <x v="244"/>
    </i>
    <i>
      <x v="226"/>
    </i>
    <i r="1">
      <x v="41"/>
    </i>
    <i r="1">
      <x v="171"/>
    </i>
    <i r="1">
      <x v="259"/>
    </i>
    <i r="1">
      <x v="260"/>
    </i>
    <i r="1">
      <x v="261"/>
    </i>
    <i t="grand">
      <x/>
    </i>
  </rowItems>
  <colItems count="1">
    <i/>
  </colItems>
  <dataFields count="1">
    <dataField name="Suma de Sales_Per_Reviews" fld="7" baseField="0" baseItem="0" numFmtId="165"/>
  </dataFields>
  <formats count="2">
    <format dxfId="1">
      <pivotArea dataOnly="0" outline="0" axis="axisValues" fieldPosition="0"/>
    </format>
    <format dxfId="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804F7B-59CF-48EF-9F9D-7995B361870B}" name="TablaDinámica6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H4:I9" firstHeaderRow="1" firstDataRow="1" firstDataCol="1"/>
  <pivotFields count="9">
    <pivotField axis="axisRow" showAll="0" measureFilter="1" sortType="ascending">
      <items count="351">
        <item x="242"/>
        <item x="117"/>
        <item x="299"/>
        <item x="269"/>
        <item x="341"/>
        <item x="94"/>
        <item x="187"/>
        <item x="270"/>
        <item x="315"/>
        <item x="239"/>
        <item x="87"/>
        <item x="111"/>
        <item x="318"/>
        <item x="17"/>
        <item x="264"/>
        <item x="232"/>
        <item x="231"/>
        <item x="234"/>
        <item x="250"/>
        <item x="182"/>
        <item x="168"/>
        <item x="214"/>
        <item x="159"/>
        <item x="46"/>
        <item x="277"/>
        <item x="85"/>
        <item x="225"/>
        <item x="236"/>
        <item x="148"/>
        <item x="83"/>
        <item x="293"/>
        <item x="217"/>
        <item x="219"/>
        <item x="261"/>
        <item x="6"/>
        <item x="86"/>
        <item x="274"/>
        <item x="108"/>
        <item x="248"/>
        <item x="326"/>
        <item x="204"/>
        <item x="53"/>
        <item x="258"/>
        <item x="38"/>
        <item x="313"/>
        <item x="227"/>
        <item x="228"/>
        <item x="58"/>
        <item x="180"/>
        <item x="174"/>
        <item x="39"/>
        <item x="72"/>
        <item x="116"/>
        <item x="218"/>
        <item x="69"/>
        <item x="74"/>
        <item x="167"/>
        <item x="166"/>
        <item x="21"/>
        <item x="199"/>
        <item x="338"/>
        <item x="151"/>
        <item x="189"/>
        <item x="49"/>
        <item x="158"/>
        <item x="30"/>
        <item x="319"/>
        <item x="285"/>
        <item x="310"/>
        <item x="328"/>
        <item x="335"/>
        <item x="317"/>
        <item x="257"/>
        <item x="235"/>
        <item x="66"/>
        <item x="47"/>
        <item x="43"/>
        <item x="100"/>
        <item x="14"/>
        <item x="15"/>
        <item x="295"/>
        <item x="224"/>
        <item x="247"/>
        <item x="260"/>
        <item x="314"/>
        <item x="124"/>
        <item x="126"/>
        <item x="123"/>
        <item x="129"/>
        <item x="300"/>
        <item x="190"/>
        <item x="75"/>
        <item x="203"/>
        <item x="79"/>
        <item x="103"/>
        <item x="89"/>
        <item x="172"/>
        <item x="216"/>
        <item x="342"/>
        <item x="298"/>
        <item x="40"/>
        <item x="215"/>
        <item x="96"/>
        <item x="36"/>
        <item x="121"/>
        <item x="331"/>
        <item x="27"/>
        <item x="278"/>
        <item x="140"/>
        <item x="200"/>
        <item x="212"/>
        <item x="346"/>
        <item x="254"/>
        <item x="175"/>
        <item x="240"/>
        <item x="238"/>
        <item x="340"/>
        <item x="289"/>
        <item x="249"/>
        <item x="229"/>
        <item x="246"/>
        <item x="32"/>
        <item x="93"/>
        <item x="243"/>
        <item x="321"/>
        <item x="184"/>
        <item x="348"/>
        <item x="177"/>
        <item x="233"/>
        <item x="171"/>
        <item x="332"/>
        <item x="41"/>
        <item x="273"/>
        <item x="197"/>
        <item x="107"/>
        <item x="150"/>
        <item x="104"/>
        <item x="309"/>
        <item x="343"/>
        <item x="91"/>
        <item x="208"/>
        <item x="173"/>
        <item x="279"/>
        <item x="160"/>
        <item x="137"/>
        <item x="97"/>
        <item x="192"/>
        <item x="226"/>
        <item x="251"/>
        <item x="323"/>
        <item x="176"/>
        <item x="302"/>
        <item x="164"/>
        <item x="169"/>
        <item x="291"/>
        <item x="308"/>
        <item x="23"/>
        <item x="65"/>
        <item x="76"/>
        <item x="206"/>
        <item x="296"/>
        <item x="195"/>
        <item x="119"/>
        <item x="188"/>
        <item x="306"/>
        <item x="207"/>
        <item x="275"/>
        <item x="31"/>
        <item x="241"/>
        <item x="290"/>
        <item x="201"/>
        <item x="52"/>
        <item x="347"/>
        <item x="339"/>
        <item x="13"/>
        <item x="256"/>
        <item x="138"/>
        <item x="288"/>
        <item x="125"/>
        <item x="222"/>
        <item x="19"/>
        <item x="114"/>
        <item x="292"/>
        <item x="271"/>
        <item x="186"/>
        <item x="4"/>
        <item x="303"/>
        <item x="84"/>
        <item x="272"/>
        <item x="262"/>
        <item x="130"/>
        <item x="10"/>
        <item x="286"/>
        <item x="135"/>
        <item x="71"/>
        <item x="268"/>
        <item x="162"/>
        <item x="202"/>
        <item x="307"/>
        <item x="61"/>
        <item x="297"/>
        <item x="220"/>
        <item x="78"/>
        <item x="320"/>
        <item x="179"/>
        <item x="42"/>
        <item x="181"/>
        <item x="99"/>
        <item x="334"/>
        <item x="16"/>
        <item x="37"/>
        <item x="73"/>
        <item x="155"/>
        <item x="82"/>
        <item x="115"/>
        <item x="106"/>
        <item x="64"/>
        <item x="34"/>
        <item x="7"/>
        <item x="183"/>
        <item x="144"/>
        <item x="54"/>
        <item x="62"/>
        <item x="198"/>
        <item x="147"/>
        <item x="329"/>
        <item x="44"/>
        <item x="154"/>
        <item x="196"/>
        <item x="185"/>
        <item x="136"/>
        <item x="105"/>
        <item x="301"/>
        <item x="63"/>
        <item x="263"/>
        <item x="88"/>
        <item x="161"/>
        <item x="118"/>
        <item x="33"/>
        <item x="122"/>
        <item x="29"/>
        <item x="45"/>
        <item x="153"/>
        <item x="282"/>
        <item x="209"/>
        <item x="56"/>
        <item x="57"/>
        <item x="11"/>
        <item x="3"/>
        <item x="255"/>
        <item x="149"/>
        <item x="131"/>
        <item x="327"/>
        <item x="9"/>
        <item x="266"/>
        <item x="132"/>
        <item x="305"/>
        <item x="1"/>
        <item x="165"/>
        <item x="50"/>
        <item x="90"/>
        <item x="92"/>
        <item x="55"/>
        <item x="281"/>
        <item x="20"/>
        <item x="18"/>
        <item x="170"/>
        <item x="110"/>
        <item x="213"/>
        <item x="101"/>
        <item x="59"/>
        <item x="8"/>
        <item x="35"/>
        <item x="253"/>
        <item x="142"/>
        <item x="211"/>
        <item x="193"/>
        <item x="316"/>
        <item x="349"/>
        <item x="210"/>
        <item x="81"/>
        <item x="265"/>
        <item x="112"/>
        <item x="178"/>
        <item x="230"/>
        <item x="143"/>
        <item x="322"/>
        <item x="311"/>
        <item x="276"/>
        <item x="133"/>
        <item x="304"/>
        <item x="128"/>
        <item x="68"/>
        <item x="80"/>
        <item x="145"/>
        <item x="0"/>
        <item x="70"/>
        <item x="325"/>
        <item x="109"/>
        <item x="267"/>
        <item x="284"/>
        <item x="141"/>
        <item x="120"/>
        <item x="25"/>
        <item x="26"/>
        <item x="330"/>
        <item x="24"/>
        <item x="60"/>
        <item x="336"/>
        <item x="157"/>
        <item x="221"/>
        <item x="252"/>
        <item x="294"/>
        <item x="223"/>
        <item x="163"/>
        <item x="95"/>
        <item x="280"/>
        <item x="146"/>
        <item x="28"/>
        <item x="191"/>
        <item x="102"/>
        <item x="152"/>
        <item x="287"/>
        <item x="67"/>
        <item x="48"/>
        <item x="2"/>
        <item x="205"/>
        <item x="51"/>
        <item x="12"/>
        <item x="345"/>
        <item x="344"/>
        <item x="259"/>
        <item x="22"/>
        <item x="98"/>
        <item x="283"/>
        <item x="194"/>
        <item x="237"/>
        <item x="337"/>
        <item x="113"/>
        <item x="139"/>
        <item x="245"/>
        <item x="324"/>
        <item x="5"/>
        <item x="312"/>
        <item x="127"/>
        <item x="134"/>
        <item x="77"/>
        <item x="156"/>
        <item x="333"/>
        <item x="244"/>
        <item t="default"/>
      </items>
    </pivotField>
    <pivotField showAll="0"/>
    <pivotField dataField="1" showAll="0"/>
    <pivotField showAll="0"/>
    <pivotField numFmtId="164" showAll="0"/>
    <pivotField showAll="0"/>
    <pivotField showAll="0"/>
    <pivotField numFmtId="164" showAll="0"/>
    <pivotField showAll="0"/>
  </pivotFields>
  <rowFields count="1">
    <field x="0"/>
  </rowFields>
  <rowItems count="5">
    <i>
      <x v="104"/>
    </i>
    <i>
      <x v="115"/>
    </i>
    <i>
      <x v="209"/>
    </i>
    <i>
      <x v="238"/>
    </i>
    <i t="grand">
      <x/>
    </i>
  </rowItems>
  <colItems count="1">
    <i/>
  </colItems>
  <dataFields count="1">
    <dataField name="Mín. de User Rating" fld="2" subtotal="min" baseField="0" baseItem="36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top="0"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DD4734-071E-43DF-B668-718B9B3ACA1E}" name="TablaDinámica5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E4:F33" firstHeaderRow="1" firstDataRow="1" firstDataCol="1"/>
  <pivotFields count="9">
    <pivotField axis="axisRow" showAll="0" measureFilter="1">
      <items count="351">
        <item x="242"/>
        <item x="117"/>
        <item x="299"/>
        <item x="269"/>
        <item x="341"/>
        <item x="94"/>
        <item x="187"/>
        <item x="270"/>
        <item x="315"/>
        <item x="239"/>
        <item x="87"/>
        <item x="111"/>
        <item x="318"/>
        <item x="17"/>
        <item x="264"/>
        <item x="232"/>
        <item x="231"/>
        <item x="234"/>
        <item x="250"/>
        <item x="182"/>
        <item x="168"/>
        <item x="214"/>
        <item x="159"/>
        <item x="46"/>
        <item x="277"/>
        <item x="85"/>
        <item x="225"/>
        <item x="236"/>
        <item x="148"/>
        <item x="83"/>
        <item x="293"/>
        <item x="217"/>
        <item x="219"/>
        <item x="261"/>
        <item x="6"/>
        <item x="86"/>
        <item x="274"/>
        <item x="108"/>
        <item x="248"/>
        <item x="326"/>
        <item x="204"/>
        <item x="53"/>
        <item x="258"/>
        <item x="38"/>
        <item x="313"/>
        <item x="227"/>
        <item x="228"/>
        <item x="58"/>
        <item x="180"/>
        <item x="174"/>
        <item x="39"/>
        <item x="72"/>
        <item x="116"/>
        <item x="218"/>
        <item x="69"/>
        <item x="74"/>
        <item x="167"/>
        <item x="166"/>
        <item x="21"/>
        <item x="199"/>
        <item x="338"/>
        <item x="151"/>
        <item x="189"/>
        <item x="49"/>
        <item x="158"/>
        <item x="30"/>
        <item x="319"/>
        <item x="285"/>
        <item x="310"/>
        <item x="328"/>
        <item x="335"/>
        <item x="317"/>
        <item x="257"/>
        <item x="235"/>
        <item x="66"/>
        <item x="47"/>
        <item x="43"/>
        <item x="100"/>
        <item x="14"/>
        <item x="15"/>
        <item x="295"/>
        <item x="224"/>
        <item x="247"/>
        <item x="260"/>
        <item x="314"/>
        <item x="124"/>
        <item x="126"/>
        <item x="123"/>
        <item x="129"/>
        <item x="300"/>
        <item x="190"/>
        <item x="75"/>
        <item x="203"/>
        <item x="79"/>
        <item x="103"/>
        <item x="89"/>
        <item x="172"/>
        <item x="216"/>
        <item x="342"/>
        <item x="298"/>
        <item x="40"/>
        <item x="215"/>
        <item x="96"/>
        <item x="36"/>
        <item x="121"/>
        <item x="331"/>
        <item x="27"/>
        <item x="278"/>
        <item x="140"/>
        <item x="200"/>
        <item x="212"/>
        <item x="346"/>
        <item x="254"/>
        <item x="175"/>
        <item x="240"/>
        <item x="238"/>
        <item x="340"/>
        <item x="289"/>
        <item x="249"/>
        <item x="229"/>
        <item x="246"/>
        <item x="32"/>
        <item x="93"/>
        <item x="243"/>
        <item x="321"/>
        <item x="184"/>
        <item x="348"/>
        <item x="177"/>
        <item x="233"/>
        <item x="171"/>
        <item x="332"/>
        <item x="41"/>
        <item x="273"/>
        <item x="197"/>
        <item x="107"/>
        <item x="150"/>
        <item x="104"/>
        <item x="309"/>
        <item x="343"/>
        <item x="91"/>
        <item x="208"/>
        <item x="173"/>
        <item x="279"/>
        <item x="160"/>
        <item x="137"/>
        <item x="97"/>
        <item x="192"/>
        <item x="226"/>
        <item x="251"/>
        <item x="323"/>
        <item x="176"/>
        <item x="302"/>
        <item x="164"/>
        <item x="169"/>
        <item x="291"/>
        <item x="308"/>
        <item x="23"/>
        <item x="65"/>
        <item x="76"/>
        <item x="206"/>
        <item x="296"/>
        <item x="195"/>
        <item x="119"/>
        <item x="188"/>
        <item x="306"/>
        <item x="207"/>
        <item x="275"/>
        <item x="31"/>
        <item x="241"/>
        <item x="290"/>
        <item x="201"/>
        <item x="52"/>
        <item x="347"/>
        <item x="339"/>
        <item x="13"/>
        <item x="256"/>
        <item x="138"/>
        <item x="288"/>
        <item x="125"/>
        <item x="222"/>
        <item x="19"/>
        <item x="114"/>
        <item x="292"/>
        <item x="271"/>
        <item x="186"/>
        <item x="4"/>
        <item x="303"/>
        <item x="84"/>
        <item x="272"/>
        <item x="262"/>
        <item x="130"/>
        <item x="10"/>
        <item x="286"/>
        <item x="135"/>
        <item x="71"/>
        <item x="268"/>
        <item x="162"/>
        <item x="202"/>
        <item x="307"/>
        <item x="61"/>
        <item x="297"/>
        <item x="220"/>
        <item x="78"/>
        <item x="320"/>
        <item x="179"/>
        <item x="42"/>
        <item x="181"/>
        <item x="99"/>
        <item x="334"/>
        <item x="16"/>
        <item x="37"/>
        <item x="73"/>
        <item x="155"/>
        <item x="82"/>
        <item x="115"/>
        <item x="106"/>
        <item x="64"/>
        <item x="34"/>
        <item x="7"/>
        <item x="183"/>
        <item x="144"/>
        <item x="54"/>
        <item x="62"/>
        <item x="198"/>
        <item x="147"/>
        <item x="329"/>
        <item x="44"/>
        <item x="154"/>
        <item x="196"/>
        <item x="185"/>
        <item x="136"/>
        <item x="105"/>
        <item x="301"/>
        <item x="63"/>
        <item x="263"/>
        <item x="88"/>
        <item x="161"/>
        <item x="118"/>
        <item x="33"/>
        <item x="122"/>
        <item x="29"/>
        <item x="45"/>
        <item x="153"/>
        <item x="282"/>
        <item x="209"/>
        <item x="56"/>
        <item x="57"/>
        <item x="11"/>
        <item x="3"/>
        <item x="255"/>
        <item x="149"/>
        <item x="131"/>
        <item x="327"/>
        <item x="9"/>
        <item x="266"/>
        <item x="132"/>
        <item x="305"/>
        <item x="1"/>
        <item x="165"/>
        <item x="50"/>
        <item x="90"/>
        <item x="92"/>
        <item x="55"/>
        <item x="281"/>
        <item x="20"/>
        <item x="18"/>
        <item x="170"/>
        <item x="110"/>
        <item x="213"/>
        <item x="101"/>
        <item x="59"/>
        <item x="8"/>
        <item x="35"/>
        <item x="253"/>
        <item x="142"/>
        <item x="211"/>
        <item x="193"/>
        <item x="316"/>
        <item x="349"/>
        <item x="210"/>
        <item x="81"/>
        <item x="265"/>
        <item x="112"/>
        <item x="178"/>
        <item x="230"/>
        <item x="143"/>
        <item x="322"/>
        <item x="311"/>
        <item x="276"/>
        <item x="133"/>
        <item x="304"/>
        <item x="128"/>
        <item x="68"/>
        <item x="80"/>
        <item x="145"/>
        <item x="0"/>
        <item x="70"/>
        <item x="325"/>
        <item x="109"/>
        <item x="267"/>
        <item x="284"/>
        <item x="141"/>
        <item x="120"/>
        <item x="25"/>
        <item x="26"/>
        <item x="330"/>
        <item x="24"/>
        <item x="60"/>
        <item x="336"/>
        <item x="157"/>
        <item x="221"/>
        <item x="252"/>
        <item x="294"/>
        <item x="223"/>
        <item x="163"/>
        <item x="95"/>
        <item x="280"/>
        <item x="146"/>
        <item x="28"/>
        <item x="191"/>
        <item x="102"/>
        <item x="152"/>
        <item x="287"/>
        <item x="67"/>
        <item x="48"/>
        <item x="2"/>
        <item x="205"/>
        <item x="51"/>
        <item x="12"/>
        <item x="345"/>
        <item x="344"/>
        <item x="259"/>
        <item x="22"/>
        <item x="98"/>
        <item x="283"/>
        <item x="194"/>
        <item x="237"/>
        <item x="337"/>
        <item x="113"/>
        <item x="139"/>
        <item x="245"/>
        <item x="324"/>
        <item x="5"/>
        <item x="312"/>
        <item x="127"/>
        <item x="134"/>
        <item x="77"/>
        <item x="156"/>
        <item x="333"/>
        <item x="244"/>
        <item t="default"/>
      </items>
    </pivotField>
    <pivotField showAll="0"/>
    <pivotField dataField="1" showAll="0">
      <items count="15">
        <item x="7"/>
        <item x="11"/>
        <item x="13"/>
        <item x="10"/>
        <item x="12"/>
        <item x="8"/>
        <item x="4"/>
        <item x="6"/>
        <item x="3"/>
        <item x="5"/>
        <item x="0"/>
        <item x="2"/>
        <item x="1"/>
        <item x="9"/>
        <item t="default"/>
      </items>
    </pivotField>
    <pivotField showAll="0"/>
    <pivotField numFmtId="164" showAll="0"/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numFmtId="164" showAll="0"/>
    <pivotField showAll="0"/>
  </pivotFields>
  <rowFields count="1">
    <field x="0"/>
  </rowFields>
  <rowItems count="29">
    <i>
      <x v="36"/>
    </i>
    <i>
      <x v="66"/>
    </i>
    <i>
      <x v="67"/>
    </i>
    <i>
      <x v="68"/>
    </i>
    <i>
      <x v="69"/>
    </i>
    <i>
      <x v="70"/>
    </i>
    <i>
      <x v="71"/>
    </i>
    <i>
      <x v="108"/>
    </i>
    <i>
      <x v="112"/>
    </i>
    <i>
      <x v="114"/>
    </i>
    <i>
      <x v="116"/>
    </i>
    <i>
      <x v="117"/>
    </i>
    <i>
      <x v="118"/>
    </i>
    <i>
      <x v="128"/>
    </i>
    <i>
      <x v="139"/>
    </i>
    <i>
      <x v="151"/>
    </i>
    <i>
      <x v="159"/>
    </i>
    <i>
      <x v="177"/>
    </i>
    <i>
      <x v="178"/>
    </i>
    <i>
      <x v="196"/>
    </i>
    <i>
      <x v="197"/>
    </i>
    <i>
      <x v="208"/>
    </i>
    <i>
      <x v="266"/>
    </i>
    <i>
      <x v="273"/>
    </i>
    <i>
      <x v="309"/>
    </i>
    <i>
      <x v="311"/>
    </i>
    <i>
      <x v="329"/>
    </i>
    <i>
      <x v="348"/>
    </i>
    <i t="grand">
      <x/>
    </i>
  </rowItems>
  <colItems count="1">
    <i/>
  </colItems>
  <dataFields count="1">
    <dataField name="Máx. de User Rating" fld="2" subtotal="max" baseField="0" baseItem="216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7E7B35-62FE-44E8-BECC-E1291C6CB79A}" name="TablaDinámica4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4:C5" firstHeaderRow="1" firstDataRow="1" firstDataCol="0"/>
  <pivotFields count="9">
    <pivotField showAll="0"/>
    <pivotField showAll="0"/>
    <pivotField showAll="0"/>
    <pivotField showAll="0"/>
    <pivotField dataField="1" numFmtId="164" showAll="0"/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numFmtId="164" showAll="0"/>
    <pivotField showAll="0"/>
  </pivotFields>
  <rowItems count="1">
    <i/>
  </rowItems>
  <colItems count="1">
    <i/>
  </colItems>
  <dataFields count="1">
    <dataField name="Promedio de Price" fld="4" subtotal="average" baseField="0" baseItem="0" numFmtId="164"/>
  </dataFields>
  <formats count="3">
    <format dxfId="4">
      <pivotArea type="all" dataOnly="0" outline="0" fieldPosition="0"/>
    </format>
    <format dxfId="3">
      <pivotArea outline="0" collapsedLevelsAreSubtotals="1" fieldPosition="0"/>
    </format>
    <format dxfId="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11DF32-04B4-43DE-BACD-EFA3F9CB096A}" name="TablaDiná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B6" firstHeaderRow="1" firstDataRow="1" firstDataCol="1"/>
  <pivotFields count="9">
    <pivotField axis="axisRow" showAll="0" measureFilter="1" sortType="ascending">
      <items count="351">
        <item x="242"/>
        <item x="117"/>
        <item x="299"/>
        <item x="269"/>
        <item x="341"/>
        <item x="94"/>
        <item x="187"/>
        <item x="270"/>
        <item x="315"/>
        <item x="239"/>
        <item x="87"/>
        <item x="111"/>
        <item x="318"/>
        <item x="17"/>
        <item x="264"/>
        <item x="232"/>
        <item x="231"/>
        <item x="234"/>
        <item x="250"/>
        <item x="182"/>
        <item x="168"/>
        <item x="214"/>
        <item x="159"/>
        <item x="46"/>
        <item x="277"/>
        <item x="85"/>
        <item x="225"/>
        <item x="236"/>
        <item x="148"/>
        <item x="83"/>
        <item x="293"/>
        <item x="217"/>
        <item x="219"/>
        <item x="261"/>
        <item x="6"/>
        <item x="86"/>
        <item x="274"/>
        <item x="108"/>
        <item x="248"/>
        <item x="326"/>
        <item x="204"/>
        <item x="53"/>
        <item x="258"/>
        <item x="38"/>
        <item x="313"/>
        <item x="227"/>
        <item x="228"/>
        <item x="58"/>
        <item x="180"/>
        <item x="174"/>
        <item x="39"/>
        <item x="72"/>
        <item x="116"/>
        <item x="218"/>
        <item x="69"/>
        <item x="74"/>
        <item x="167"/>
        <item x="166"/>
        <item x="21"/>
        <item x="199"/>
        <item x="338"/>
        <item x="151"/>
        <item x="189"/>
        <item x="49"/>
        <item x="158"/>
        <item x="30"/>
        <item x="319"/>
        <item x="285"/>
        <item x="310"/>
        <item x="328"/>
        <item x="335"/>
        <item x="317"/>
        <item x="257"/>
        <item x="235"/>
        <item x="66"/>
        <item x="47"/>
        <item x="43"/>
        <item x="100"/>
        <item x="14"/>
        <item x="15"/>
        <item x="295"/>
        <item x="224"/>
        <item x="247"/>
        <item x="260"/>
        <item x="314"/>
        <item x="124"/>
        <item x="126"/>
        <item x="123"/>
        <item x="129"/>
        <item x="300"/>
        <item x="190"/>
        <item x="75"/>
        <item x="203"/>
        <item x="79"/>
        <item x="103"/>
        <item x="89"/>
        <item x="172"/>
        <item x="216"/>
        <item x="342"/>
        <item x="298"/>
        <item x="40"/>
        <item x="215"/>
        <item x="96"/>
        <item x="36"/>
        <item x="121"/>
        <item x="331"/>
        <item x="27"/>
        <item x="278"/>
        <item x="140"/>
        <item x="200"/>
        <item x="212"/>
        <item x="346"/>
        <item x="254"/>
        <item x="175"/>
        <item x="240"/>
        <item x="238"/>
        <item x="340"/>
        <item x="289"/>
        <item x="249"/>
        <item x="229"/>
        <item x="246"/>
        <item x="32"/>
        <item x="93"/>
        <item x="243"/>
        <item x="321"/>
        <item x="184"/>
        <item x="348"/>
        <item x="177"/>
        <item x="233"/>
        <item x="171"/>
        <item x="332"/>
        <item x="41"/>
        <item x="273"/>
        <item x="197"/>
        <item x="107"/>
        <item x="150"/>
        <item x="104"/>
        <item x="309"/>
        <item x="343"/>
        <item x="91"/>
        <item x="208"/>
        <item x="173"/>
        <item x="279"/>
        <item x="160"/>
        <item x="137"/>
        <item x="97"/>
        <item x="192"/>
        <item x="226"/>
        <item x="251"/>
        <item x="323"/>
        <item x="176"/>
        <item x="302"/>
        <item x="164"/>
        <item x="169"/>
        <item x="291"/>
        <item x="308"/>
        <item x="23"/>
        <item x="65"/>
        <item x="76"/>
        <item x="206"/>
        <item x="296"/>
        <item x="195"/>
        <item x="119"/>
        <item x="188"/>
        <item x="306"/>
        <item x="207"/>
        <item x="275"/>
        <item x="31"/>
        <item x="241"/>
        <item x="290"/>
        <item x="201"/>
        <item x="52"/>
        <item x="347"/>
        <item x="339"/>
        <item x="13"/>
        <item x="256"/>
        <item x="138"/>
        <item x="288"/>
        <item x="125"/>
        <item x="222"/>
        <item x="19"/>
        <item x="114"/>
        <item x="292"/>
        <item x="271"/>
        <item x="186"/>
        <item x="4"/>
        <item x="303"/>
        <item x="84"/>
        <item x="272"/>
        <item x="262"/>
        <item x="130"/>
        <item x="10"/>
        <item x="286"/>
        <item x="135"/>
        <item x="71"/>
        <item x="268"/>
        <item x="162"/>
        <item x="202"/>
        <item x="307"/>
        <item x="61"/>
        <item x="297"/>
        <item x="220"/>
        <item x="78"/>
        <item x="320"/>
        <item x="179"/>
        <item x="42"/>
        <item x="181"/>
        <item x="99"/>
        <item x="334"/>
        <item x="16"/>
        <item x="37"/>
        <item x="73"/>
        <item x="155"/>
        <item x="82"/>
        <item x="115"/>
        <item x="106"/>
        <item x="64"/>
        <item x="34"/>
        <item x="7"/>
        <item x="183"/>
        <item x="144"/>
        <item x="54"/>
        <item x="62"/>
        <item x="198"/>
        <item x="147"/>
        <item x="329"/>
        <item x="44"/>
        <item x="154"/>
        <item x="196"/>
        <item x="185"/>
        <item x="136"/>
        <item x="105"/>
        <item x="301"/>
        <item x="63"/>
        <item x="263"/>
        <item x="88"/>
        <item x="161"/>
        <item x="118"/>
        <item x="33"/>
        <item x="122"/>
        <item x="29"/>
        <item x="45"/>
        <item x="153"/>
        <item x="282"/>
        <item x="209"/>
        <item x="56"/>
        <item x="57"/>
        <item x="11"/>
        <item x="3"/>
        <item x="255"/>
        <item x="149"/>
        <item x="131"/>
        <item x="327"/>
        <item x="9"/>
        <item x="266"/>
        <item x="132"/>
        <item x="305"/>
        <item x="1"/>
        <item x="165"/>
        <item x="50"/>
        <item x="90"/>
        <item x="92"/>
        <item x="55"/>
        <item x="281"/>
        <item x="20"/>
        <item x="18"/>
        <item x="170"/>
        <item x="110"/>
        <item x="213"/>
        <item x="101"/>
        <item x="59"/>
        <item x="8"/>
        <item x="35"/>
        <item x="253"/>
        <item x="142"/>
        <item x="211"/>
        <item x="193"/>
        <item x="316"/>
        <item x="349"/>
        <item x="210"/>
        <item x="81"/>
        <item x="265"/>
        <item x="112"/>
        <item x="178"/>
        <item x="230"/>
        <item x="143"/>
        <item x="322"/>
        <item x="311"/>
        <item x="276"/>
        <item x="133"/>
        <item x="304"/>
        <item x="128"/>
        <item x="68"/>
        <item x="80"/>
        <item x="145"/>
        <item x="0"/>
        <item x="70"/>
        <item x="325"/>
        <item x="109"/>
        <item x="267"/>
        <item x="284"/>
        <item x="141"/>
        <item x="120"/>
        <item x="25"/>
        <item x="26"/>
        <item x="330"/>
        <item x="24"/>
        <item x="60"/>
        <item x="336"/>
        <item x="157"/>
        <item x="221"/>
        <item x="252"/>
        <item x="294"/>
        <item x="223"/>
        <item x="163"/>
        <item x="95"/>
        <item x="280"/>
        <item x="146"/>
        <item x="28"/>
        <item x="191"/>
        <item x="102"/>
        <item x="152"/>
        <item x="287"/>
        <item x="67"/>
        <item x="48"/>
        <item x="2"/>
        <item x="205"/>
        <item x="51"/>
        <item x="12"/>
        <item x="345"/>
        <item x="344"/>
        <item x="259"/>
        <item x="22"/>
        <item x="98"/>
        <item x="283"/>
        <item x="194"/>
        <item x="237"/>
        <item x="337"/>
        <item x="113"/>
        <item x="139"/>
        <item x="245"/>
        <item x="324"/>
        <item x="5"/>
        <item x="312"/>
        <item x="127"/>
        <item x="134"/>
        <item x="77"/>
        <item x="156"/>
        <item x="333"/>
        <item x="244"/>
        <item t="default"/>
      </items>
    </pivotField>
    <pivotField showAll="0"/>
    <pivotField showAll="0"/>
    <pivotField dataField="1" showAll="0"/>
    <pivotField numFmtId="164" showAll="0"/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numFmtId="164" showAll="0"/>
    <pivotField showAll="0"/>
  </pivotFields>
  <rowFields count="1">
    <field x="0"/>
  </rowFields>
  <rowItems count="2">
    <i>
      <x v="341"/>
    </i>
    <i t="grand">
      <x/>
    </i>
  </rowItems>
  <colItems count="1">
    <i/>
  </colItems>
  <dataFields count="1">
    <dataField name="Máx. de Reviews" fld="3" subtotal="max" baseField="0" baseItem="0" numFmtId="2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985AF83-62EB-414E-A099-7C8A8A36D1C2}" autoFormatId="16" applyNumberFormats="0" applyBorderFormats="0" applyFontFormats="0" applyPatternFormats="0" applyAlignmentFormats="0" applyWidthHeightFormats="0">
  <queryTableRefresh nextId="11" unboundColumnsRight="2">
    <queryTableFields count="9">
      <queryTableField id="1" name="Name" tableColumnId="1"/>
      <queryTableField id="2" name="Author" tableColumnId="2"/>
      <queryTableField id="3" name="User Rating" tableColumnId="3"/>
      <queryTableField id="4" name="Reviews" tableColumnId="4"/>
      <queryTableField id="5" name="Price" tableColumnId="5"/>
      <queryTableField id="6" name="Year" tableColumnId="6"/>
      <queryTableField id="7" name="Genre" tableColumnId="7"/>
      <queryTableField id="9" dataBound="0" tableColumnId="9"/>
      <queryTableField id="10" dataBound="0" tableColumnId="10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Year" xr10:uid="{5B1F0BC8-0DA4-44D1-A31E-CB645F833F3E}" sourceName="Year">
  <pivotTables>
    <pivotTable tabId="9" name="TablaDinámica1"/>
    <pivotTable tabId="9" name="TablaDinámica4"/>
    <pivotTable tabId="9" name="TablaDinámica5"/>
  </pivotTables>
  <data>
    <tabular pivotCacheId="501868623">
      <items count="11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Year" xr10:uid="{77F5F8E1-E0DB-41E2-8B14-3AA6875B0E41}" cache="SegmentaciónDeDatos_Year" caption="Year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99E7C7-7220-4781-BCED-24C71C23BAD6}" name="bestsellers_with_categories" displayName="bestsellers_with_categories" ref="A1:I551" tableType="queryTable" totalsRowShown="0">
  <autoFilter ref="A1:I551" xr:uid="{9A99E7C7-7220-4781-BCED-24C71C23BAD6}"/>
  <sortState xmlns:xlrd2="http://schemas.microsoft.com/office/spreadsheetml/2017/richdata2" ref="A2:I551">
    <sortCondition descending="1" ref="H1:H551"/>
  </sortState>
  <tableColumns count="9">
    <tableColumn id="1" xr3:uid="{7518B292-3AD3-4262-A5DC-0AC6DB7FD97D}" uniqueName="1" name="Name" queryTableFieldId="1" dataDxfId="14"/>
    <tableColumn id="2" xr3:uid="{01CA2F72-C2D8-4327-92E8-C1170C50D016}" uniqueName="2" name="Author" queryTableFieldId="2" dataDxfId="13"/>
    <tableColumn id="3" xr3:uid="{8B64FA89-2A3B-4AC4-A86B-F53E3D56756C}" uniqueName="3" name="User Rating" queryTableFieldId="3"/>
    <tableColumn id="4" xr3:uid="{6725A6C7-FA01-4306-956C-9944CDE6F368}" uniqueName="4" name="Reviews" queryTableFieldId="4"/>
    <tableColumn id="5" xr3:uid="{459C8D7C-01BB-450A-AB2F-890E48A55ACB}" uniqueName="5" name="Price" queryTableFieldId="5" dataDxfId="12"/>
    <tableColumn id="6" xr3:uid="{B8A405D3-0757-4C2A-80FD-CAB6E811836B}" uniqueName="6" name="Year" queryTableFieldId="6"/>
    <tableColumn id="7" xr3:uid="{2F18CD4C-4FFD-4003-BEA9-49AB93C644B7}" uniqueName="7" name="Genre" queryTableFieldId="7" dataDxfId="11"/>
    <tableColumn id="9" xr3:uid="{89858F37-E169-4B37-8F92-1752BB817A61}" uniqueName="9" name="Sales_Per_Reviews" queryTableFieldId="9" dataDxfId="10">
      <calculatedColumnFormula>bestsellers_with_categories[[#This Row],[Reviews]]*bestsellers_with_categories[[#This Row],[Price]]</calculatedColumnFormula>
    </tableColumn>
    <tableColumn id="10" xr3:uid="{9958A8A8-28C9-448D-B14C-837D4CAF28D5}" uniqueName="10" name="Recommended" queryTableFieldId="10" dataDxfId="9">
      <calculatedColumnFormula>IF(bestsellers_with_categories[[#This Row],[User Rating]]&gt;40,"recommended","not recommended")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drawing" Target="../drawings/drawing3.xml"/><Relationship Id="rId5" Type="http://schemas.openxmlformats.org/officeDocument/2006/relationships/pivotTable" Target="../pivotTables/pivotTable8.xml"/><Relationship Id="rId4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247A4-CB16-4B95-AC01-FEED08330A39}">
  <dimension ref="A1:I551"/>
  <sheetViews>
    <sheetView zoomScaleNormal="100" workbookViewId="0">
      <selection activeCell="E5" sqref="E5"/>
    </sheetView>
  </sheetViews>
  <sheetFormatPr baseColWidth="10" defaultRowHeight="14.4" x14ac:dyDescent="0.3"/>
  <cols>
    <col min="1" max="1" width="80.88671875" bestFit="1" customWidth="1"/>
    <col min="2" max="2" width="30.109375" bestFit="1" customWidth="1"/>
    <col min="3" max="3" width="12.77734375" bestFit="1" customWidth="1"/>
    <col min="4" max="4" width="15.6640625" style="12" customWidth="1"/>
    <col min="5" max="5" width="7.88671875" style="1" bestFit="1" customWidth="1"/>
    <col min="6" max="6" width="22.21875" bestFit="1" customWidth="1"/>
    <col min="7" max="7" width="10.33203125" style="11" bestFit="1" customWidth="1"/>
    <col min="8" max="8" width="13" style="1" bestFit="1" customWidth="1"/>
    <col min="9" max="9" width="19.109375" customWidth="1"/>
  </cols>
  <sheetData>
    <row r="1" spans="1:9" x14ac:dyDescent="0.3">
      <c r="A1" t="s">
        <v>0</v>
      </c>
      <c r="B1" t="s">
        <v>1</v>
      </c>
      <c r="C1" t="s">
        <v>2</v>
      </c>
      <c r="D1" s="12" t="s">
        <v>3</v>
      </c>
      <c r="E1" s="1" t="s">
        <v>4</v>
      </c>
      <c r="F1" t="s">
        <v>5</v>
      </c>
      <c r="G1" s="11" t="s">
        <v>6</v>
      </c>
      <c r="H1" s="1" t="s">
        <v>608</v>
      </c>
      <c r="I1" t="s">
        <v>609</v>
      </c>
    </row>
    <row r="2" spans="1:9" x14ac:dyDescent="0.3">
      <c r="A2" t="s">
        <v>435</v>
      </c>
      <c r="B2" t="s">
        <v>436</v>
      </c>
      <c r="C2">
        <v>41</v>
      </c>
      <c r="D2">
        <v>79446</v>
      </c>
      <c r="E2" s="1">
        <v>18</v>
      </c>
      <c r="F2">
        <v>2015</v>
      </c>
      <c r="G2" t="s">
        <v>12</v>
      </c>
      <c r="H2" s="1">
        <f>bestsellers_with_categories[[#This Row],[Reviews]]*bestsellers_with_categories[[#This Row],[Price]]</f>
        <v>1430028</v>
      </c>
      <c r="I2" t="str">
        <f>IF(bestsellers_with_categories[[#This Row],[User Rating]]&gt;40,"recommended","not recommended")</f>
        <v>recommended</v>
      </c>
    </row>
    <row r="3" spans="1:9" x14ac:dyDescent="0.3">
      <c r="A3" t="s">
        <v>391</v>
      </c>
      <c r="B3" t="s">
        <v>392</v>
      </c>
      <c r="C3">
        <v>47</v>
      </c>
      <c r="D3">
        <v>35799</v>
      </c>
      <c r="E3" s="1">
        <v>39</v>
      </c>
      <c r="F3">
        <v>2014</v>
      </c>
      <c r="G3" t="s">
        <v>12</v>
      </c>
      <c r="H3" s="1">
        <f>bestsellers_with_categories[[#This Row],[Reviews]]*bestsellers_with_categories[[#This Row],[Price]]</f>
        <v>1396161</v>
      </c>
      <c r="I3" t="str">
        <f>IF(bestsellers_with_categories[[#This Row],[User Rating]]&gt;40,"recommended","not recommended")</f>
        <v>recommended</v>
      </c>
    </row>
    <row r="4" spans="1:9" x14ac:dyDescent="0.3">
      <c r="A4" t="s">
        <v>591</v>
      </c>
      <c r="B4" t="s">
        <v>592</v>
      </c>
      <c r="C4">
        <v>48</v>
      </c>
      <c r="D4">
        <v>87841</v>
      </c>
      <c r="E4" s="1">
        <v>15</v>
      </c>
      <c r="F4">
        <v>2019</v>
      </c>
      <c r="G4" t="s">
        <v>12</v>
      </c>
      <c r="H4" s="1">
        <f>bestsellers_with_categories[[#This Row],[Reviews]]*bestsellers_with_categories[[#This Row],[Price]]</f>
        <v>1317615</v>
      </c>
      <c r="I4" t="str">
        <f>IF(bestsellers_with_categories[[#This Row],[User Rating]]&gt;40,"recommended","not recommended")</f>
        <v>recommended</v>
      </c>
    </row>
    <row r="5" spans="1:9" x14ac:dyDescent="0.3">
      <c r="A5" t="s">
        <v>114</v>
      </c>
      <c r="B5" t="s">
        <v>115</v>
      </c>
      <c r="C5">
        <v>45</v>
      </c>
      <c r="D5">
        <v>6679</v>
      </c>
      <c r="E5" s="1">
        <v>105</v>
      </c>
      <c r="F5">
        <v>2013</v>
      </c>
      <c r="G5" t="s">
        <v>9</v>
      </c>
      <c r="H5" s="1">
        <f>bestsellers_with_categories[[#This Row],[Reviews]]*bestsellers_with_categories[[#This Row],[Price]]</f>
        <v>701295</v>
      </c>
      <c r="I5" t="str">
        <f>IF(bestsellers_with_categories[[#This Row],[User Rating]]&gt;40,"recommended","not recommended")</f>
        <v>recommended</v>
      </c>
    </row>
    <row r="6" spans="1:9" x14ac:dyDescent="0.3">
      <c r="A6" t="s">
        <v>114</v>
      </c>
      <c r="B6" t="s">
        <v>115</v>
      </c>
      <c r="C6">
        <v>45</v>
      </c>
      <c r="D6">
        <v>6679</v>
      </c>
      <c r="E6" s="1">
        <v>105</v>
      </c>
      <c r="F6">
        <v>2014</v>
      </c>
      <c r="G6" t="s">
        <v>9</v>
      </c>
      <c r="H6" s="1">
        <f>bestsellers_with_categories[[#This Row],[Reviews]]*bestsellers_with_categories[[#This Row],[Price]]</f>
        <v>701295</v>
      </c>
      <c r="I6" t="str">
        <f>IF(bestsellers_with_categories[[#This Row],[User Rating]]&gt;40,"recommended","not recommended")</f>
        <v>recommended</v>
      </c>
    </row>
    <row r="7" spans="1:9" x14ac:dyDescent="0.3">
      <c r="A7" t="s">
        <v>216</v>
      </c>
      <c r="B7" t="s">
        <v>211</v>
      </c>
      <c r="C7">
        <v>48</v>
      </c>
      <c r="D7">
        <v>13471</v>
      </c>
      <c r="E7" s="1">
        <v>52</v>
      </c>
      <c r="F7">
        <v>2016</v>
      </c>
      <c r="G7" t="s">
        <v>12</v>
      </c>
      <c r="H7" s="1">
        <f>bestsellers_with_categories[[#This Row],[Reviews]]*bestsellers_with_categories[[#This Row],[Price]]</f>
        <v>700492</v>
      </c>
      <c r="I7" t="str">
        <f>IF(bestsellers_with_categories[[#This Row],[User Rating]]&gt;40,"recommended","not recommended")</f>
        <v>recommended</v>
      </c>
    </row>
    <row r="8" spans="1:9" x14ac:dyDescent="0.3">
      <c r="A8" t="s">
        <v>444</v>
      </c>
      <c r="B8" t="s">
        <v>445</v>
      </c>
      <c r="C8">
        <v>39</v>
      </c>
      <c r="D8">
        <v>33844</v>
      </c>
      <c r="E8" s="1">
        <v>20</v>
      </c>
      <c r="F8">
        <v>2013</v>
      </c>
      <c r="G8" t="s">
        <v>12</v>
      </c>
      <c r="H8" s="1">
        <f>bestsellers_with_categories[[#This Row],[Reviews]]*bestsellers_with_categories[[#This Row],[Price]]</f>
        <v>676880</v>
      </c>
      <c r="I8" t="str">
        <f>IF(bestsellers_with_categories[[#This Row],[User Rating]]&gt;40,"recommended","not recommended")</f>
        <v>not recommended</v>
      </c>
    </row>
    <row r="9" spans="1:9" x14ac:dyDescent="0.3">
      <c r="A9" t="s">
        <v>444</v>
      </c>
      <c r="B9" t="s">
        <v>445</v>
      </c>
      <c r="C9">
        <v>39</v>
      </c>
      <c r="D9">
        <v>33844</v>
      </c>
      <c r="E9" s="1">
        <v>20</v>
      </c>
      <c r="F9">
        <v>2014</v>
      </c>
      <c r="G9" t="s">
        <v>12</v>
      </c>
      <c r="H9" s="1">
        <f>bestsellers_with_categories[[#This Row],[Reviews]]*bestsellers_with_categories[[#This Row],[Price]]</f>
        <v>676880</v>
      </c>
      <c r="I9" t="str">
        <f>IF(bestsellers_with_categories[[#This Row],[User Rating]]&gt;40,"recommended","not recommended")</f>
        <v>not recommended</v>
      </c>
    </row>
    <row r="10" spans="1:9" x14ac:dyDescent="0.3">
      <c r="A10" t="s">
        <v>66</v>
      </c>
      <c r="B10" t="s">
        <v>67</v>
      </c>
      <c r="C10">
        <v>48</v>
      </c>
      <c r="D10">
        <v>61133</v>
      </c>
      <c r="E10" s="1">
        <v>11</v>
      </c>
      <c r="F10">
        <v>2018</v>
      </c>
      <c r="G10" t="s">
        <v>9</v>
      </c>
      <c r="H10" s="1">
        <f>bestsellers_with_categories[[#This Row],[Reviews]]*bestsellers_with_categories[[#This Row],[Price]]</f>
        <v>672463</v>
      </c>
      <c r="I10" t="str">
        <f>IF(bestsellers_with_categories[[#This Row],[User Rating]]&gt;40,"recommended","not recommended")</f>
        <v>recommended</v>
      </c>
    </row>
    <row r="11" spans="1:9" x14ac:dyDescent="0.3">
      <c r="A11" t="s">
        <v>66</v>
      </c>
      <c r="B11" t="s">
        <v>67</v>
      </c>
      <c r="C11">
        <v>48</v>
      </c>
      <c r="D11">
        <v>61133</v>
      </c>
      <c r="E11" s="1">
        <v>11</v>
      </c>
      <c r="F11">
        <v>2019</v>
      </c>
      <c r="G11" t="s">
        <v>9</v>
      </c>
      <c r="H11" s="1">
        <f>bestsellers_with_categories[[#This Row],[Reviews]]*bestsellers_with_categories[[#This Row],[Price]]</f>
        <v>672463</v>
      </c>
      <c r="I11" t="str">
        <f>IF(bestsellers_with_categories[[#This Row],[User Rating]]&gt;40,"recommended","not recommended")</f>
        <v>recommended</v>
      </c>
    </row>
    <row r="12" spans="1:9" x14ac:dyDescent="0.3">
      <c r="A12" t="s">
        <v>159</v>
      </c>
      <c r="B12" t="s">
        <v>157</v>
      </c>
      <c r="C12">
        <v>38</v>
      </c>
      <c r="D12">
        <v>47265</v>
      </c>
      <c r="E12" s="1">
        <v>14</v>
      </c>
      <c r="F12">
        <v>2012</v>
      </c>
      <c r="G12" t="s">
        <v>12</v>
      </c>
      <c r="H12" s="1">
        <f>bestsellers_with_categories[[#This Row],[Reviews]]*bestsellers_with_categories[[#This Row],[Price]]</f>
        <v>661710</v>
      </c>
      <c r="I12" t="str">
        <f>IF(bestsellers_with_categories[[#This Row],[User Rating]]&gt;40,"recommended","not recommended")</f>
        <v>not recommended</v>
      </c>
    </row>
    <row r="13" spans="1:9" x14ac:dyDescent="0.3">
      <c r="A13" t="s">
        <v>159</v>
      </c>
      <c r="B13" t="s">
        <v>157</v>
      </c>
      <c r="C13">
        <v>38</v>
      </c>
      <c r="D13">
        <v>47265</v>
      </c>
      <c r="E13" s="1">
        <v>14</v>
      </c>
      <c r="F13">
        <v>2013</v>
      </c>
      <c r="G13" t="s">
        <v>12</v>
      </c>
      <c r="H13" s="1">
        <f>bestsellers_with_categories[[#This Row],[Reviews]]*bestsellers_with_categories[[#This Row],[Price]]</f>
        <v>661710</v>
      </c>
      <c r="I13" t="str">
        <f>IF(bestsellers_with_categories[[#This Row],[User Rating]]&gt;40,"recommended","not recommended")</f>
        <v>not recommended</v>
      </c>
    </row>
    <row r="14" spans="1:9" x14ac:dyDescent="0.3">
      <c r="A14" t="s">
        <v>428</v>
      </c>
      <c r="B14" t="s">
        <v>289</v>
      </c>
      <c r="C14">
        <v>47</v>
      </c>
      <c r="D14">
        <v>50482</v>
      </c>
      <c r="E14" s="1">
        <v>13</v>
      </c>
      <c r="F14">
        <v>2012</v>
      </c>
      <c r="G14" t="s">
        <v>12</v>
      </c>
      <c r="H14" s="1">
        <f>bestsellers_with_categories[[#This Row],[Reviews]]*bestsellers_with_categories[[#This Row],[Price]]</f>
        <v>656266</v>
      </c>
      <c r="I14" t="str">
        <f>IF(bestsellers_with_categories[[#This Row],[User Rating]]&gt;40,"recommended","not recommended")</f>
        <v>recommended</v>
      </c>
    </row>
    <row r="15" spans="1:9" x14ac:dyDescent="0.3">
      <c r="A15" t="s">
        <v>428</v>
      </c>
      <c r="B15" t="s">
        <v>289</v>
      </c>
      <c r="C15">
        <v>47</v>
      </c>
      <c r="D15">
        <v>50482</v>
      </c>
      <c r="E15" s="1">
        <v>13</v>
      </c>
      <c r="F15">
        <v>2013</v>
      </c>
      <c r="G15" t="s">
        <v>12</v>
      </c>
      <c r="H15" s="1">
        <f>bestsellers_with_categories[[#This Row],[Reviews]]*bestsellers_with_categories[[#This Row],[Price]]</f>
        <v>656266</v>
      </c>
      <c r="I15" t="str">
        <f>IF(bestsellers_with_categories[[#This Row],[User Rating]]&gt;40,"recommended","not recommended")</f>
        <v>recommended</v>
      </c>
    </row>
    <row r="16" spans="1:9" x14ac:dyDescent="0.3">
      <c r="A16" t="s">
        <v>428</v>
      </c>
      <c r="B16" t="s">
        <v>289</v>
      </c>
      <c r="C16">
        <v>47</v>
      </c>
      <c r="D16">
        <v>50482</v>
      </c>
      <c r="E16" s="1">
        <v>13</v>
      </c>
      <c r="F16">
        <v>2014</v>
      </c>
      <c r="G16" t="s">
        <v>12</v>
      </c>
      <c r="H16" s="1">
        <f>bestsellers_with_categories[[#This Row],[Reviews]]*bestsellers_with_categories[[#This Row],[Price]]</f>
        <v>656266</v>
      </c>
      <c r="I16" t="str">
        <f>IF(bestsellers_with_categories[[#This Row],[User Rating]]&gt;40,"recommended","not recommended")</f>
        <v>recommended</v>
      </c>
    </row>
    <row r="17" spans="1:9" x14ac:dyDescent="0.3">
      <c r="A17" t="s">
        <v>21</v>
      </c>
      <c r="B17" t="s">
        <v>20</v>
      </c>
      <c r="C17">
        <v>47</v>
      </c>
      <c r="D17">
        <v>19735</v>
      </c>
      <c r="E17" s="1">
        <v>30</v>
      </c>
      <c r="F17">
        <v>2014</v>
      </c>
      <c r="G17" t="s">
        <v>12</v>
      </c>
      <c r="H17" s="1">
        <f>bestsellers_with_categories[[#This Row],[Reviews]]*bestsellers_with_categories[[#This Row],[Price]]</f>
        <v>592050</v>
      </c>
      <c r="I17" t="str">
        <f>IF(bestsellers_with_categories[[#This Row],[User Rating]]&gt;40,"recommended","not recommended")</f>
        <v>recommended</v>
      </c>
    </row>
    <row r="18" spans="1:9" x14ac:dyDescent="0.3">
      <c r="A18" t="s">
        <v>208</v>
      </c>
      <c r="B18" t="s">
        <v>153</v>
      </c>
      <c r="C18">
        <v>49</v>
      </c>
      <c r="D18">
        <v>19622</v>
      </c>
      <c r="E18" s="1">
        <v>30</v>
      </c>
      <c r="F18">
        <v>2016</v>
      </c>
      <c r="G18" t="s">
        <v>12</v>
      </c>
      <c r="H18" s="1">
        <f>bestsellers_with_categories[[#This Row],[Reviews]]*bestsellers_with_categories[[#This Row],[Price]]</f>
        <v>588660</v>
      </c>
      <c r="I18" t="str">
        <f>IF(bestsellers_with_categories[[#This Row],[User Rating]]&gt;40,"recommended","not recommended")</f>
        <v>recommended</v>
      </c>
    </row>
    <row r="19" spans="1:9" x14ac:dyDescent="0.3">
      <c r="A19" t="s">
        <v>189</v>
      </c>
      <c r="B19" t="s">
        <v>190</v>
      </c>
      <c r="C19">
        <v>4</v>
      </c>
      <c r="D19">
        <v>57271</v>
      </c>
      <c r="E19" s="1">
        <v>10</v>
      </c>
      <c r="F19">
        <v>2012</v>
      </c>
      <c r="G19" t="s">
        <v>12</v>
      </c>
      <c r="H19" s="1">
        <f>bestsellers_with_categories[[#This Row],[Reviews]]*bestsellers_with_categories[[#This Row],[Price]]</f>
        <v>572710</v>
      </c>
      <c r="I19" t="str">
        <f>IF(bestsellers_with_categories[[#This Row],[User Rating]]&gt;40,"recommended","not recommended")</f>
        <v>not recommended</v>
      </c>
    </row>
    <row r="20" spans="1:9" x14ac:dyDescent="0.3">
      <c r="A20" t="s">
        <v>189</v>
      </c>
      <c r="B20" t="s">
        <v>190</v>
      </c>
      <c r="C20">
        <v>4</v>
      </c>
      <c r="D20">
        <v>57271</v>
      </c>
      <c r="E20" s="1">
        <v>10</v>
      </c>
      <c r="F20">
        <v>2013</v>
      </c>
      <c r="G20" t="s">
        <v>12</v>
      </c>
      <c r="H20" s="1">
        <f>bestsellers_with_categories[[#This Row],[Reviews]]*bestsellers_with_categories[[#This Row],[Price]]</f>
        <v>572710</v>
      </c>
      <c r="I20" t="str">
        <f>IF(bestsellers_with_categories[[#This Row],[User Rating]]&gt;40,"recommended","not recommended")</f>
        <v>not recommended</v>
      </c>
    </row>
    <row r="21" spans="1:9" x14ac:dyDescent="0.3">
      <c r="A21" t="s">
        <v>435</v>
      </c>
      <c r="B21" t="s">
        <v>436</v>
      </c>
      <c r="C21">
        <v>41</v>
      </c>
      <c r="D21">
        <v>79446</v>
      </c>
      <c r="E21" s="1">
        <v>7</v>
      </c>
      <c r="F21">
        <v>2016</v>
      </c>
      <c r="G21" t="s">
        <v>12</v>
      </c>
      <c r="H21" s="1">
        <f>bestsellers_with_categories[[#This Row],[Reviews]]*bestsellers_with_categories[[#This Row],[Price]]</f>
        <v>556122</v>
      </c>
      <c r="I21" t="str">
        <f>IF(bestsellers_with_categories[[#This Row],[User Rating]]&gt;40,"recommended","not recommended")</f>
        <v>recommended</v>
      </c>
    </row>
    <row r="22" spans="1:9" x14ac:dyDescent="0.3">
      <c r="A22" t="s">
        <v>491</v>
      </c>
      <c r="B22" t="s">
        <v>492</v>
      </c>
      <c r="C22">
        <v>48</v>
      </c>
      <c r="D22">
        <v>49288</v>
      </c>
      <c r="E22" s="1">
        <v>11</v>
      </c>
      <c r="F22">
        <v>2015</v>
      </c>
      <c r="G22" t="s">
        <v>12</v>
      </c>
      <c r="H22" s="1">
        <f>bestsellers_with_categories[[#This Row],[Reviews]]*bestsellers_with_categories[[#This Row],[Price]]</f>
        <v>542168</v>
      </c>
      <c r="I22" t="str">
        <f>IF(bestsellers_with_categories[[#This Row],[User Rating]]&gt;40,"recommended","not recommended")</f>
        <v>recommended</v>
      </c>
    </row>
    <row r="23" spans="1:9" x14ac:dyDescent="0.3">
      <c r="A23" t="s">
        <v>491</v>
      </c>
      <c r="B23" t="s">
        <v>492</v>
      </c>
      <c r="C23">
        <v>48</v>
      </c>
      <c r="D23">
        <v>49288</v>
      </c>
      <c r="E23" s="1">
        <v>11</v>
      </c>
      <c r="F23">
        <v>2016</v>
      </c>
      <c r="G23" t="s">
        <v>12</v>
      </c>
      <c r="H23" s="1">
        <f>bestsellers_with_categories[[#This Row],[Reviews]]*bestsellers_with_categories[[#This Row],[Price]]</f>
        <v>542168</v>
      </c>
      <c r="I23" t="str">
        <f>IF(bestsellers_with_categories[[#This Row],[User Rating]]&gt;40,"recommended","not recommended")</f>
        <v>recommended</v>
      </c>
    </row>
    <row r="24" spans="1:9" x14ac:dyDescent="0.3">
      <c r="A24" t="s">
        <v>189</v>
      </c>
      <c r="B24" t="s">
        <v>190</v>
      </c>
      <c r="C24">
        <v>4</v>
      </c>
      <c r="D24">
        <v>57271</v>
      </c>
      <c r="E24" s="1">
        <v>9</v>
      </c>
      <c r="F24">
        <v>2014</v>
      </c>
      <c r="G24" t="s">
        <v>12</v>
      </c>
      <c r="H24" s="1">
        <f>bestsellers_with_categories[[#This Row],[Reviews]]*bestsellers_with_categories[[#This Row],[Price]]</f>
        <v>515439</v>
      </c>
      <c r="I24" t="str">
        <f>IF(bestsellers_with_categories[[#This Row],[User Rating]]&gt;40,"recommended","not recommended")</f>
        <v>not recommended</v>
      </c>
    </row>
    <row r="25" spans="1:9" x14ac:dyDescent="0.3">
      <c r="A25" t="s">
        <v>45</v>
      </c>
      <c r="B25" t="s">
        <v>46</v>
      </c>
      <c r="C25">
        <v>46</v>
      </c>
      <c r="D25">
        <v>36348</v>
      </c>
      <c r="E25" s="1">
        <v>14</v>
      </c>
      <c r="F25">
        <v>2014</v>
      </c>
      <c r="G25" t="s">
        <v>12</v>
      </c>
      <c r="H25" s="1">
        <f>bestsellers_with_categories[[#This Row],[Reviews]]*bestsellers_with_categories[[#This Row],[Price]]</f>
        <v>508872</v>
      </c>
      <c r="I25" t="str">
        <f>IF(bestsellers_with_categories[[#This Row],[User Rating]]&gt;40,"recommended","not recommended")</f>
        <v>recommended</v>
      </c>
    </row>
    <row r="26" spans="1:9" x14ac:dyDescent="0.3">
      <c r="A26" t="s">
        <v>45</v>
      </c>
      <c r="B26" t="s">
        <v>46</v>
      </c>
      <c r="C26">
        <v>46</v>
      </c>
      <c r="D26">
        <v>36348</v>
      </c>
      <c r="E26" s="1">
        <v>14</v>
      </c>
      <c r="F26">
        <v>2015</v>
      </c>
      <c r="G26" t="s">
        <v>12</v>
      </c>
      <c r="H26" s="1">
        <f>bestsellers_with_categories[[#This Row],[Reviews]]*bestsellers_with_categories[[#This Row],[Price]]</f>
        <v>508872</v>
      </c>
      <c r="I26" t="str">
        <f>IF(bestsellers_with_categories[[#This Row],[User Rating]]&gt;40,"recommended","not recommended")</f>
        <v>recommended</v>
      </c>
    </row>
    <row r="27" spans="1:9" x14ac:dyDescent="0.3">
      <c r="A27" t="s">
        <v>462</v>
      </c>
      <c r="B27" t="s">
        <v>88</v>
      </c>
      <c r="C27">
        <v>48</v>
      </c>
      <c r="D27">
        <v>16949</v>
      </c>
      <c r="E27" s="1">
        <v>30</v>
      </c>
      <c r="F27">
        <v>2011</v>
      </c>
      <c r="G27" t="s">
        <v>12</v>
      </c>
      <c r="H27" s="1">
        <f>bestsellers_with_categories[[#This Row],[Reviews]]*bestsellers_with_categories[[#This Row],[Price]]</f>
        <v>508470</v>
      </c>
      <c r="I27" t="str">
        <f>IF(bestsellers_with_categories[[#This Row],[User Rating]]&gt;40,"recommended","not recommended")</f>
        <v>recommended</v>
      </c>
    </row>
    <row r="28" spans="1:9" x14ac:dyDescent="0.3">
      <c r="A28" t="s">
        <v>462</v>
      </c>
      <c r="B28" t="s">
        <v>88</v>
      </c>
      <c r="C28">
        <v>48</v>
      </c>
      <c r="D28">
        <v>16949</v>
      </c>
      <c r="E28" s="1">
        <v>30</v>
      </c>
      <c r="F28">
        <v>2012</v>
      </c>
      <c r="G28" t="s">
        <v>12</v>
      </c>
      <c r="H28" s="1">
        <f>bestsellers_with_categories[[#This Row],[Reviews]]*bestsellers_with_categories[[#This Row],[Price]]</f>
        <v>508470</v>
      </c>
      <c r="I28" t="str">
        <f>IF(bestsellers_with_categories[[#This Row],[User Rating]]&gt;40,"recommended","not recommended")</f>
        <v>recommended</v>
      </c>
    </row>
    <row r="29" spans="1:9" x14ac:dyDescent="0.3">
      <c r="A29" t="s">
        <v>567</v>
      </c>
      <c r="B29" t="s">
        <v>568</v>
      </c>
      <c r="C29">
        <v>48</v>
      </c>
      <c r="D29">
        <v>29673</v>
      </c>
      <c r="E29" s="1">
        <v>16</v>
      </c>
      <c r="F29">
        <v>2010</v>
      </c>
      <c r="G29" t="s">
        <v>9</v>
      </c>
      <c r="H29" s="1">
        <f>bestsellers_with_categories[[#This Row],[Reviews]]*bestsellers_with_categories[[#This Row],[Price]]</f>
        <v>474768</v>
      </c>
      <c r="I29" t="str">
        <f>IF(bestsellers_with_categories[[#This Row],[User Rating]]&gt;40,"recommended","not recommended")</f>
        <v>recommended</v>
      </c>
    </row>
    <row r="30" spans="1:9" x14ac:dyDescent="0.3">
      <c r="A30" t="s">
        <v>567</v>
      </c>
      <c r="B30" t="s">
        <v>568</v>
      </c>
      <c r="C30">
        <v>48</v>
      </c>
      <c r="D30">
        <v>29673</v>
      </c>
      <c r="E30" s="1">
        <v>16</v>
      </c>
      <c r="F30">
        <v>2011</v>
      </c>
      <c r="G30" t="s">
        <v>9</v>
      </c>
      <c r="H30" s="1">
        <f>bestsellers_with_categories[[#This Row],[Reviews]]*bestsellers_with_categories[[#This Row],[Price]]</f>
        <v>474768</v>
      </c>
      <c r="I30" t="str">
        <f>IF(bestsellers_with_categories[[#This Row],[User Rating]]&gt;40,"recommended","not recommended")</f>
        <v>recommended</v>
      </c>
    </row>
    <row r="31" spans="1:9" x14ac:dyDescent="0.3">
      <c r="A31" t="s">
        <v>567</v>
      </c>
      <c r="B31" t="s">
        <v>568</v>
      </c>
      <c r="C31">
        <v>48</v>
      </c>
      <c r="D31">
        <v>29673</v>
      </c>
      <c r="E31" s="1">
        <v>16</v>
      </c>
      <c r="F31">
        <v>2012</v>
      </c>
      <c r="G31" t="s">
        <v>9</v>
      </c>
      <c r="H31" s="1">
        <f>bestsellers_with_categories[[#This Row],[Reviews]]*bestsellers_with_categories[[#This Row],[Price]]</f>
        <v>474768</v>
      </c>
      <c r="I31" t="str">
        <f>IF(bestsellers_with_categories[[#This Row],[User Rating]]&gt;40,"recommended","not recommended")</f>
        <v>recommended</v>
      </c>
    </row>
    <row r="32" spans="1:9" x14ac:dyDescent="0.3">
      <c r="A32" t="s">
        <v>567</v>
      </c>
      <c r="B32" t="s">
        <v>568</v>
      </c>
      <c r="C32">
        <v>48</v>
      </c>
      <c r="D32">
        <v>29673</v>
      </c>
      <c r="E32" s="1">
        <v>16</v>
      </c>
      <c r="F32">
        <v>2014</v>
      </c>
      <c r="G32" t="s">
        <v>9</v>
      </c>
      <c r="H32" s="1">
        <f>bestsellers_with_categories[[#This Row],[Reviews]]*bestsellers_with_categories[[#This Row],[Price]]</f>
        <v>474768</v>
      </c>
      <c r="I32" t="str">
        <f>IF(bestsellers_with_categories[[#This Row],[User Rating]]&gt;40,"recommended","not recommended")</f>
        <v>recommended</v>
      </c>
    </row>
    <row r="33" spans="1:9" x14ac:dyDescent="0.3">
      <c r="A33" t="s">
        <v>334</v>
      </c>
      <c r="B33" t="s">
        <v>335</v>
      </c>
      <c r="C33">
        <v>48</v>
      </c>
      <c r="D33">
        <v>16990</v>
      </c>
      <c r="E33" s="1">
        <v>27</v>
      </c>
      <c r="F33">
        <v>2017</v>
      </c>
      <c r="G33" t="s">
        <v>12</v>
      </c>
      <c r="H33" s="1">
        <f>bestsellers_with_categories[[#This Row],[Reviews]]*bestsellers_with_categories[[#This Row],[Price]]</f>
        <v>458730</v>
      </c>
      <c r="I33" t="str">
        <f>IF(bestsellers_with_categories[[#This Row],[User Rating]]&gt;40,"recommended","not recommended")</f>
        <v>recommended</v>
      </c>
    </row>
    <row r="34" spans="1:9" x14ac:dyDescent="0.3">
      <c r="A34" t="s">
        <v>334</v>
      </c>
      <c r="B34" t="s">
        <v>335</v>
      </c>
      <c r="C34">
        <v>48</v>
      </c>
      <c r="D34">
        <v>16990</v>
      </c>
      <c r="E34" s="1">
        <v>27</v>
      </c>
      <c r="F34">
        <v>2018</v>
      </c>
      <c r="G34" t="s">
        <v>12</v>
      </c>
      <c r="H34" s="1">
        <f>bestsellers_with_categories[[#This Row],[Reviews]]*bestsellers_with_categories[[#This Row],[Price]]</f>
        <v>458730</v>
      </c>
      <c r="I34" t="str">
        <f>IF(bestsellers_with_categories[[#This Row],[User Rating]]&gt;40,"recommended","not recommended")</f>
        <v>recommended</v>
      </c>
    </row>
    <row r="35" spans="1:9" x14ac:dyDescent="0.3">
      <c r="A35" t="s">
        <v>334</v>
      </c>
      <c r="B35" t="s">
        <v>335</v>
      </c>
      <c r="C35">
        <v>48</v>
      </c>
      <c r="D35">
        <v>16990</v>
      </c>
      <c r="E35" s="1">
        <v>27</v>
      </c>
      <c r="F35">
        <v>2019</v>
      </c>
      <c r="G35" t="s">
        <v>12</v>
      </c>
      <c r="H35" s="1">
        <f>bestsellers_with_categories[[#This Row],[Reviews]]*bestsellers_with_categories[[#This Row],[Price]]</f>
        <v>458730</v>
      </c>
      <c r="I35" t="str">
        <f>IF(bestsellers_with_categories[[#This Row],[User Rating]]&gt;40,"recommended","not recommended")</f>
        <v>recommended</v>
      </c>
    </row>
    <row r="36" spans="1:9" x14ac:dyDescent="0.3">
      <c r="A36" t="s">
        <v>460</v>
      </c>
      <c r="B36" t="s">
        <v>88</v>
      </c>
      <c r="C36">
        <v>47</v>
      </c>
      <c r="D36">
        <v>32122</v>
      </c>
      <c r="E36" s="1">
        <v>14</v>
      </c>
      <c r="F36">
        <v>2010</v>
      </c>
      <c r="G36" t="s">
        <v>12</v>
      </c>
      <c r="H36" s="1">
        <f>bestsellers_with_categories[[#This Row],[Reviews]]*bestsellers_with_categories[[#This Row],[Price]]</f>
        <v>449708</v>
      </c>
      <c r="I36" t="str">
        <f>IF(bestsellers_with_categories[[#This Row],[User Rating]]&gt;40,"recommended","not recommended")</f>
        <v>recommended</v>
      </c>
    </row>
    <row r="37" spans="1:9" x14ac:dyDescent="0.3">
      <c r="A37" t="s">
        <v>160</v>
      </c>
      <c r="B37" t="s">
        <v>157</v>
      </c>
      <c r="C37">
        <v>45</v>
      </c>
      <c r="D37">
        <v>13964</v>
      </c>
      <c r="E37" s="1">
        <v>32</v>
      </c>
      <c r="F37">
        <v>2012</v>
      </c>
      <c r="G37" t="s">
        <v>12</v>
      </c>
      <c r="H37" s="1">
        <f>bestsellers_with_categories[[#This Row],[Reviews]]*bestsellers_with_categories[[#This Row],[Price]]</f>
        <v>446848</v>
      </c>
      <c r="I37" t="str">
        <f>IF(bestsellers_with_categories[[#This Row],[User Rating]]&gt;40,"recommended","not recommended")</f>
        <v>recommended</v>
      </c>
    </row>
    <row r="38" spans="1:9" x14ac:dyDescent="0.3">
      <c r="A38" t="s">
        <v>146</v>
      </c>
      <c r="B38" t="s">
        <v>147</v>
      </c>
      <c r="C38">
        <v>47</v>
      </c>
      <c r="D38">
        <v>28729</v>
      </c>
      <c r="E38" s="1">
        <v>15</v>
      </c>
      <c r="F38">
        <v>2018</v>
      </c>
      <c r="G38" t="s">
        <v>9</v>
      </c>
      <c r="H38" s="1">
        <f>bestsellers_with_categories[[#This Row],[Reviews]]*bestsellers_with_categories[[#This Row],[Price]]</f>
        <v>430935</v>
      </c>
      <c r="I38" t="str">
        <f>IF(bestsellers_with_categories[[#This Row],[User Rating]]&gt;40,"recommended","not recommended")</f>
        <v>recommended</v>
      </c>
    </row>
    <row r="39" spans="1:9" x14ac:dyDescent="0.3">
      <c r="A39" t="s">
        <v>146</v>
      </c>
      <c r="B39" t="s">
        <v>147</v>
      </c>
      <c r="C39">
        <v>47</v>
      </c>
      <c r="D39">
        <v>28729</v>
      </c>
      <c r="E39" s="1">
        <v>15</v>
      </c>
      <c r="F39">
        <v>2019</v>
      </c>
      <c r="G39" t="s">
        <v>9</v>
      </c>
      <c r="H39" s="1">
        <f>bestsellers_with_categories[[#This Row],[Reviews]]*bestsellers_with_categories[[#This Row],[Price]]</f>
        <v>430935</v>
      </c>
      <c r="I39" t="str">
        <f>IF(bestsellers_with_categories[[#This Row],[User Rating]]&gt;40,"recommended","not recommended")</f>
        <v>recommended</v>
      </c>
    </row>
    <row r="40" spans="1:9" x14ac:dyDescent="0.3">
      <c r="A40" t="s">
        <v>376</v>
      </c>
      <c r="B40" t="s">
        <v>377</v>
      </c>
      <c r="C40">
        <v>45</v>
      </c>
      <c r="D40">
        <v>23114</v>
      </c>
      <c r="E40" s="1">
        <v>18</v>
      </c>
      <c r="F40">
        <v>2013</v>
      </c>
      <c r="G40" t="s">
        <v>12</v>
      </c>
      <c r="H40" s="1">
        <f>bestsellers_with_categories[[#This Row],[Reviews]]*bestsellers_with_categories[[#This Row],[Price]]</f>
        <v>416052</v>
      </c>
      <c r="I40" t="str">
        <f>IF(bestsellers_with_categories[[#This Row],[User Rating]]&gt;40,"recommended","not recommended")</f>
        <v>recommended</v>
      </c>
    </row>
    <row r="41" spans="1:9" x14ac:dyDescent="0.3">
      <c r="A41" t="s">
        <v>244</v>
      </c>
      <c r="B41" t="s">
        <v>245</v>
      </c>
      <c r="C41">
        <v>41</v>
      </c>
      <c r="D41">
        <v>29651</v>
      </c>
      <c r="E41" s="1">
        <v>14</v>
      </c>
      <c r="F41">
        <v>2013</v>
      </c>
      <c r="G41" t="s">
        <v>12</v>
      </c>
      <c r="H41" s="1">
        <f>bestsellers_with_categories[[#This Row],[Reviews]]*bestsellers_with_categories[[#This Row],[Price]]</f>
        <v>415114</v>
      </c>
      <c r="I41" t="str">
        <f>IF(bestsellers_with_categories[[#This Row],[User Rating]]&gt;40,"recommended","not recommended")</f>
        <v>recommended</v>
      </c>
    </row>
    <row r="42" spans="1:9" x14ac:dyDescent="0.3">
      <c r="A42" t="s">
        <v>121</v>
      </c>
      <c r="B42" t="s">
        <v>48</v>
      </c>
      <c r="C42">
        <v>46</v>
      </c>
      <c r="D42">
        <v>27098</v>
      </c>
      <c r="E42" s="1">
        <v>15</v>
      </c>
      <c r="F42">
        <v>2013</v>
      </c>
      <c r="G42" t="s">
        <v>12</v>
      </c>
      <c r="H42" s="1">
        <f>bestsellers_with_categories[[#This Row],[Reviews]]*bestsellers_with_categories[[#This Row],[Price]]</f>
        <v>406470</v>
      </c>
      <c r="I42" t="str">
        <f>IF(bestsellers_with_categories[[#This Row],[User Rating]]&gt;40,"recommended","not recommended")</f>
        <v>recommended</v>
      </c>
    </row>
    <row r="43" spans="1:9" x14ac:dyDescent="0.3">
      <c r="A43" t="s">
        <v>121</v>
      </c>
      <c r="B43" t="s">
        <v>48</v>
      </c>
      <c r="C43">
        <v>46</v>
      </c>
      <c r="D43">
        <v>27098</v>
      </c>
      <c r="E43" s="1">
        <v>15</v>
      </c>
      <c r="F43">
        <v>2014</v>
      </c>
      <c r="G43" t="s">
        <v>12</v>
      </c>
      <c r="H43" s="1">
        <f>bestsellers_with_categories[[#This Row],[Reviews]]*bestsellers_with_categories[[#This Row],[Price]]</f>
        <v>406470</v>
      </c>
      <c r="I43" t="str">
        <f>IF(bestsellers_with_categories[[#This Row],[User Rating]]&gt;40,"recommended","not recommended")</f>
        <v>recommended</v>
      </c>
    </row>
    <row r="44" spans="1:9" x14ac:dyDescent="0.3">
      <c r="A44" t="s">
        <v>521</v>
      </c>
      <c r="B44" t="s">
        <v>522</v>
      </c>
      <c r="C44">
        <v>46</v>
      </c>
      <c r="D44">
        <v>26490</v>
      </c>
      <c r="E44" s="1">
        <v>15</v>
      </c>
      <c r="F44">
        <v>2017</v>
      </c>
      <c r="G44" t="s">
        <v>9</v>
      </c>
      <c r="H44" s="1">
        <f>bestsellers_with_categories[[#This Row],[Reviews]]*bestsellers_with_categories[[#This Row],[Price]]</f>
        <v>397350</v>
      </c>
      <c r="I44" t="str">
        <f>IF(bestsellers_with_categories[[#This Row],[User Rating]]&gt;40,"recommended","not recommended")</f>
        <v>recommended</v>
      </c>
    </row>
    <row r="45" spans="1:9" x14ac:dyDescent="0.3">
      <c r="A45" t="s">
        <v>521</v>
      </c>
      <c r="B45" t="s">
        <v>522</v>
      </c>
      <c r="C45">
        <v>46</v>
      </c>
      <c r="D45">
        <v>26490</v>
      </c>
      <c r="E45" s="1">
        <v>15</v>
      </c>
      <c r="F45">
        <v>2018</v>
      </c>
      <c r="G45" t="s">
        <v>9</v>
      </c>
      <c r="H45" s="1">
        <f>bestsellers_with_categories[[#This Row],[Reviews]]*bestsellers_with_categories[[#This Row],[Price]]</f>
        <v>397350</v>
      </c>
      <c r="I45" t="str">
        <f>IF(bestsellers_with_categories[[#This Row],[User Rating]]&gt;40,"recommended","not recommended")</f>
        <v>recommended</v>
      </c>
    </row>
    <row r="46" spans="1:9" x14ac:dyDescent="0.3">
      <c r="A46" t="s">
        <v>521</v>
      </c>
      <c r="B46" t="s">
        <v>522</v>
      </c>
      <c r="C46">
        <v>46</v>
      </c>
      <c r="D46">
        <v>26490</v>
      </c>
      <c r="E46" s="1">
        <v>15</v>
      </c>
      <c r="F46">
        <v>2019</v>
      </c>
      <c r="G46" t="s">
        <v>9</v>
      </c>
      <c r="H46" s="1">
        <f>bestsellers_with_categories[[#This Row],[Reviews]]*bestsellers_with_categories[[#This Row],[Price]]</f>
        <v>397350</v>
      </c>
      <c r="I46" t="str">
        <f>IF(bestsellers_with_categories[[#This Row],[User Rating]]&gt;40,"recommended","not recommended")</f>
        <v>recommended</v>
      </c>
    </row>
    <row r="47" spans="1:9" x14ac:dyDescent="0.3">
      <c r="A47" t="s">
        <v>339</v>
      </c>
      <c r="B47" t="s">
        <v>340</v>
      </c>
      <c r="C47">
        <v>45</v>
      </c>
      <c r="D47" s="12">
        <v>8580</v>
      </c>
      <c r="E47" s="1">
        <v>46</v>
      </c>
      <c r="F47">
        <v>2009</v>
      </c>
      <c r="G47" s="11" t="s">
        <v>9</v>
      </c>
      <c r="H47" s="1">
        <f>bestsellers_with_categories[[#This Row],[Reviews]]*bestsellers_with_categories[[#This Row],[Price]]</f>
        <v>394680</v>
      </c>
      <c r="I47" t="str">
        <f>IF(bestsellers_with_categories[[#This Row],[User Rating]]&gt;40,"recommended","not recommended")</f>
        <v>recommended</v>
      </c>
    </row>
    <row r="48" spans="1:9" x14ac:dyDescent="0.3">
      <c r="A48" t="s">
        <v>339</v>
      </c>
      <c r="B48" t="s">
        <v>340</v>
      </c>
      <c r="C48">
        <v>45</v>
      </c>
      <c r="D48">
        <v>8580</v>
      </c>
      <c r="E48" s="1">
        <v>46</v>
      </c>
      <c r="F48">
        <v>2010</v>
      </c>
      <c r="G48" t="s">
        <v>9</v>
      </c>
      <c r="H48" s="1">
        <f>bestsellers_with_categories[[#This Row],[Reviews]]*bestsellers_with_categories[[#This Row],[Price]]</f>
        <v>394680</v>
      </c>
      <c r="I48" t="str">
        <f>IF(bestsellers_with_categories[[#This Row],[User Rating]]&gt;40,"recommended","not recommended")</f>
        <v>recommended</v>
      </c>
    </row>
    <row r="49" spans="1:9" x14ac:dyDescent="0.3">
      <c r="A49" t="s">
        <v>339</v>
      </c>
      <c r="B49" t="s">
        <v>340</v>
      </c>
      <c r="C49">
        <v>45</v>
      </c>
      <c r="D49">
        <v>8580</v>
      </c>
      <c r="E49" s="1">
        <v>46</v>
      </c>
      <c r="F49">
        <v>2011</v>
      </c>
      <c r="G49" t="s">
        <v>9</v>
      </c>
      <c r="H49" s="1">
        <f>bestsellers_with_categories[[#This Row],[Reviews]]*bestsellers_with_categories[[#This Row],[Price]]</f>
        <v>394680</v>
      </c>
      <c r="I49" t="str">
        <f>IF(bestsellers_with_categories[[#This Row],[User Rating]]&gt;40,"recommended","not recommended")</f>
        <v>recommended</v>
      </c>
    </row>
    <row r="50" spans="1:9" x14ac:dyDescent="0.3">
      <c r="A50" t="s">
        <v>339</v>
      </c>
      <c r="B50" t="s">
        <v>340</v>
      </c>
      <c r="C50">
        <v>45</v>
      </c>
      <c r="D50">
        <v>8580</v>
      </c>
      <c r="E50" s="1">
        <v>46</v>
      </c>
      <c r="F50">
        <v>2012</v>
      </c>
      <c r="G50" t="s">
        <v>9</v>
      </c>
      <c r="H50" s="1">
        <f>bestsellers_with_categories[[#This Row],[Reviews]]*bestsellers_with_categories[[#This Row],[Price]]</f>
        <v>394680</v>
      </c>
      <c r="I50" t="str">
        <f>IF(bestsellers_with_categories[[#This Row],[User Rating]]&gt;40,"recommended","not recommended")</f>
        <v>recommended</v>
      </c>
    </row>
    <row r="51" spans="1:9" x14ac:dyDescent="0.3">
      <c r="A51" t="s">
        <v>339</v>
      </c>
      <c r="B51" t="s">
        <v>340</v>
      </c>
      <c r="C51">
        <v>45</v>
      </c>
      <c r="D51">
        <v>8580</v>
      </c>
      <c r="E51" s="1">
        <v>46</v>
      </c>
      <c r="F51">
        <v>2013</v>
      </c>
      <c r="G51" t="s">
        <v>9</v>
      </c>
      <c r="H51" s="1">
        <f>bestsellers_with_categories[[#This Row],[Reviews]]*bestsellers_with_categories[[#This Row],[Price]]</f>
        <v>394680</v>
      </c>
      <c r="I51" t="str">
        <f>IF(bestsellers_with_categories[[#This Row],[User Rating]]&gt;40,"recommended","not recommended")</f>
        <v>recommended</v>
      </c>
    </row>
    <row r="52" spans="1:9" x14ac:dyDescent="0.3">
      <c r="A52" t="s">
        <v>339</v>
      </c>
      <c r="B52" t="s">
        <v>340</v>
      </c>
      <c r="C52">
        <v>45</v>
      </c>
      <c r="D52">
        <v>8580</v>
      </c>
      <c r="E52" s="1">
        <v>46</v>
      </c>
      <c r="F52">
        <v>2014</v>
      </c>
      <c r="G52" t="s">
        <v>9</v>
      </c>
      <c r="H52" s="1">
        <f>bestsellers_with_categories[[#This Row],[Reviews]]*bestsellers_with_categories[[#This Row],[Price]]</f>
        <v>394680</v>
      </c>
      <c r="I52" t="str">
        <f>IF(bestsellers_with_categories[[#This Row],[User Rating]]&gt;40,"recommended","not recommended")</f>
        <v>recommended</v>
      </c>
    </row>
    <row r="53" spans="1:9" x14ac:dyDescent="0.3">
      <c r="A53" t="s">
        <v>339</v>
      </c>
      <c r="B53" t="s">
        <v>340</v>
      </c>
      <c r="C53">
        <v>45</v>
      </c>
      <c r="D53">
        <v>8580</v>
      </c>
      <c r="E53" s="1">
        <v>46</v>
      </c>
      <c r="F53">
        <v>2015</v>
      </c>
      <c r="G53" t="s">
        <v>9</v>
      </c>
      <c r="H53" s="1">
        <f>bestsellers_with_categories[[#This Row],[Reviews]]*bestsellers_with_categories[[#This Row],[Price]]</f>
        <v>394680</v>
      </c>
      <c r="I53" t="str">
        <f>IF(bestsellers_with_categories[[#This Row],[User Rating]]&gt;40,"recommended","not recommended")</f>
        <v>recommended</v>
      </c>
    </row>
    <row r="54" spans="1:9" x14ac:dyDescent="0.3">
      <c r="A54" t="s">
        <v>339</v>
      </c>
      <c r="B54" t="s">
        <v>340</v>
      </c>
      <c r="C54">
        <v>45</v>
      </c>
      <c r="D54">
        <v>8580</v>
      </c>
      <c r="E54" s="1">
        <v>46</v>
      </c>
      <c r="F54">
        <v>2016</v>
      </c>
      <c r="G54" t="s">
        <v>9</v>
      </c>
      <c r="H54" s="1">
        <f>bestsellers_with_categories[[#This Row],[Reviews]]*bestsellers_with_categories[[#This Row],[Price]]</f>
        <v>394680</v>
      </c>
      <c r="I54" t="str">
        <f>IF(bestsellers_with_categories[[#This Row],[User Rating]]&gt;40,"recommended","not recommended")</f>
        <v>recommended</v>
      </c>
    </row>
    <row r="55" spans="1:9" x14ac:dyDescent="0.3">
      <c r="A55" t="s">
        <v>339</v>
      </c>
      <c r="B55" t="s">
        <v>340</v>
      </c>
      <c r="C55">
        <v>45</v>
      </c>
      <c r="D55">
        <v>8580</v>
      </c>
      <c r="E55" s="1">
        <v>46</v>
      </c>
      <c r="F55">
        <v>2017</v>
      </c>
      <c r="G55" t="s">
        <v>9</v>
      </c>
      <c r="H55" s="1">
        <f>bestsellers_with_categories[[#This Row],[Reviews]]*bestsellers_with_categories[[#This Row],[Price]]</f>
        <v>394680</v>
      </c>
      <c r="I55" t="str">
        <f>IF(bestsellers_with_categories[[#This Row],[User Rating]]&gt;40,"recommended","not recommended")</f>
        <v>recommended</v>
      </c>
    </row>
    <row r="56" spans="1:9" x14ac:dyDescent="0.3">
      <c r="A56" t="s">
        <v>339</v>
      </c>
      <c r="B56" t="s">
        <v>340</v>
      </c>
      <c r="C56">
        <v>45</v>
      </c>
      <c r="D56">
        <v>8580</v>
      </c>
      <c r="E56" s="1">
        <v>46</v>
      </c>
      <c r="F56">
        <v>2018</v>
      </c>
      <c r="G56" t="s">
        <v>9</v>
      </c>
      <c r="H56" s="1">
        <f>bestsellers_with_categories[[#This Row],[Reviews]]*bestsellers_with_categories[[#This Row],[Price]]</f>
        <v>394680</v>
      </c>
      <c r="I56" t="str">
        <f>IF(bestsellers_with_categories[[#This Row],[User Rating]]&gt;40,"recommended","not recommended")</f>
        <v>recommended</v>
      </c>
    </row>
    <row r="57" spans="1:9" x14ac:dyDescent="0.3">
      <c r="A57" t="s">
        <v>567</v>
      </c>
      <c r="B57" t="s">
        <v>568</v>
      </c>
      <c r="C57">
        <v>48</v>
      </c>
      <c r="D57">
        <v>29673</v>
      </c>
      <c r="E57" s="1">
        <v>13</v>
      </c>
      <c r="F57">
        <v>2014</v>
      </c>
      <c r="G57" t="s">
        <v>9</v>
      </c>
      <c r="H57" s="1">
        <f>bestsellers_with_categories[[#This Row],[Reviews]]*bestsellers_with_categories[[#This Row],[Price]]</f>
        <v>385749</v>
      </c>
      <c r="I57" t="str">
        <f>IF(bestsellers_with_categories[[#This Row],[User Rating]]&gt;40,"recommended","not recommended")</f>
        <v>recommended</v>
      </c>
    </row>
    <row r="58" spans="1:9" x14ac:dyDescent="0.3">
      <c r="A58" t="s">
        <v>518</v>
      </c>
      <c r="B58" t="s">
        <v>519</v>
      </c>
      <c r="C58">
        <v>45</v>
      </c>
      <c r="D58">
        <v>27536</v>
      </c>
      <c r="E58" s="1">
        <v>14</v>
      </c>
      <c r="F58">
        <v>2019</v>
      </c>
      <c r="G58" t="s">
        <v>12</v>
      </c>
      <c r="H58" s="1">
        <f>bestsellers_with_categories[[#This Row],[Reviews]]*bestsellers_with_categories[[#This Row],[Price]]</f>
        <v>385504</v>
      </c>
      <c r="I58" t="str">
        <f>IF(bestsellers_with_categories[[#This Row],[User Rating]]&gt;40,"recommended","not recommended")</f>
        <v>recommended</v>
      </c>
    </row>
    <row r="59" spans="1:9" x14ac:dyDescent="0.3">
      <c r="A59" t="s">
        <v>201</v>
      </c>
      <c r="B59" t="s">
        <v>157</v>
      </c>
      <c r="C59">
        <v>44</v>
      </c>
      <c r="D59">
        <v>25624</v>
      </c>
      <c r="E59" s="1">
        <v>14</v>
      </c>
      <c r="F59">
        <v>2015</v>
      </c>
      <c r="G59" t="s">
        <v>12</v>
      </c>
      <c r="H59" s="1">
        <f>bestsellers_with_categories[[#This Row],[Reviews]]*bestsellers_with_categories[[#This Row],[Price]]</f>
        <v>358736</v>
      </c>
      <c r="I59" t="str">
        <f>IF(bestsellers_with_categories[[#This Row],[User Rating]]&gt;40,"recommended","not recommended")</f>
        <v>recommended</v>
      </c>
    </row>
    <row r="60" spans="1:9" x14ac:dyDescent="0.3">
      <c r="A60" t="s">
        <v>484</v>
      </c>
      <c r="B60" t="s">
        <v>485</v>
      </c>
      <c r="C60">
        <v>47</v>
      </c>
      <c r="D60">
        <v>39459</v>
      </c>
      <c r="E60" s="1">
        <v>9</v>
      </c>
      <c r="F60">
        <v>2015</v>
      </c>
      <c r="G60" t="s">
        <v>12</v>
      </c>
      <c r="H60" s="1">
        <f>bestsellers_with_categories[[#This Row],[Reviews]]*bestsellers_with_categories[[#This Row],[Price]]</f>
        <v>355131</v>
      </c>
      <c r="I60" t="str">
        <f>IF(bestsellers_with_categories[[#This Row],[User Rating]]&gt;40,"recommended","not recommended")</f>
        <v>recommended</v>
      </c>
    </row>
    <row r="61" spans="1:9" x14ac:dyDescent="0.3">
      <c r="A61" t="s">
        <v>428</v>
      </c>
      <c r="B61" t="s">
        <v>289</v>
      </c>
      <c r="C61">
        <v>47</v>
      </c>
      <c r="D61">
        <v>50482</v>
      </c>
      <c r="E61" s="1">
        <v>7</v>
      </c>
      <c r="F61">
        <v>2014</v>
      </c>
      <c r="G61" t="s">
        <v>12</v>
      </c>
      <c r="H61" s="1">
        <f>bestsellers_with_categories[[#This Row],[Reviews]]*bestsellers_with_categories[[#This Row],[Price]]</f>
        <v>353374</v>
      </c>
      <c r="I61" t="str">
        <f>IF(bestsellers_with_categories[[#This Row],[User Rating]]&gt;40,"recommended","not recommended")</f>
        <v>recommended</v>
      </c>
    </row>
    <row r="62" spans="1:9" x14ac:dyDescent="0.3">
      <c r="A62" t="s">
        <v>204</v>
      </c>
      <c r="B62" t="s">
        <v>205</v>
      </c>
      <c r="C62">
        <v>49</v>
      </c>
      <c r="D62">
        <v>5867</v>
      </c>
      <c r="E62" s="1">
        <v>54</v>
      </c>
      <c r="F62">
        <v>2016</v>
      </c>
      <c r="G62" t="s">
        <v>9</v>
      </c>
      <c r="H62" s="1">
        <f>bestsellers_with_categories[[#This Row],[Reviews]]*bestsellers_with_categories[[#This Row],[Price]]</f>
        <v>316818</v>
      </c>
      <c r="I62" t="str">
        <f>IF(bestsellers_with_categories[[#This Row],[User Rating]]&gt;40,"recommended","not recommended")</f>
        <v>recommended</v>
      </c>
    </row>
    <row r="63" spans="1:9" x14ac:dyDescent="0.3">
      <c r="A63" t="s">
        <v>531</v>
      </c>
      <c r="B63" t="s">
        <v>75</v>
      </c>
      <c r="C63">
        <v>47</v>
      </c>
      <c r="D63" s="12">
        <v>3801</v>
      </c>
      <c r="E63" s="1">
        <v>82</v>
      </c>
      <c r="F63">
        <v>2009</v>
      </c>
      <c r="G63" s="11" t="s">
        <v>12</v>
      </c>
      <c r="H63" s="1">
        <f>bestsellers_with_categories[[#This Row],[Reviews]]*bestsellers_with_categories[[#This Row],[Price]]</f>
        <v>311682</v>
      </c>
      <c r="I63" t="str">
        <f>IF(bestsellers_with_categories[[#This Row],[User Rating]]&gt;40,"recommended","not recommended")</f>
        <v>recommended</v>
      </c>
    </row>
    <row r="64" spans="1:9" x14ac:dyDescent="0.3">
      <c r="A64" t="s">
        <v>286</v>
      </c>
      <c r="B64" t="s">
        <v>287</v>
      </c>
      <c r="C64">
        <v>45</v>
      </c>
      <c r="D64">
        <v>25706</v>
      </c>
      <c r="E64" s="1">
        <v>12</v>
      </c>
      <c r="F64">
        <v>2018</v>
      </c>
      <c r="G64" t="s">
        <v>12</v>
      </c>
      <c r="H64" s="1">
        <f>bestsellers_with_categories[[#This Row],[Reviews]]*bestsellers_with_categories[[#This Row],[Price]]</f>
        <v>308472</v>
      </c>
      <c r="I64" t="str">
        <f>IF(bestsellers_with_categories[[#This Row],[User Rating]]&gt;40,"recommended","not recommended")</f>
        <v>recommended</v>
      </c>
    </row>
    <row r="65" spans="1:9" x14ac:dyDescent="0.3">
      <c r="A65" t="s">
        <v>597</v>
      </c>
      <c r="B65" t="s">
        <v>598</v>
      </c>
      <c r="C65">
        <v>44</v>
      </c>
      <c r="D65">
        <v>17044</v>
      </c>
      <c r="E65" s="1">
        <v>18</v>
      </c>
      <c r="F65">
        <v>2012</v>
      </c>
      <c r="G65" t="s">
        <v>9</v>
      </c>
      <c r="H65" s="1">
        <f>bestsellers_with_categories[[#This Row],[Reviews]]*bestsellers_with_categories[[#This Row],[Price]]</f>
        <v>306792</v>
      </c>
      <c r="I65" t="str">
        <f>IF(bestsellers_with_categories[[#This Row],[User Rating]]&gt;40,"recommended","not recommended")</f>
        <v>recommended</v>
      </c>
    </row>
    <row r="66" spans="1:9" x14ac:dyDescent="0.3">
      <c r="A66" t="s">
        <v>22</v>
      </c>
      <c r="B66" t="s">
        <v>23</v>
      </c>
      <c r="C66">
        <v>47</v>
      </c>
      <c r="D66">
        <v>19699</v>
      </c>
      <c r="E66" s="1">
        <v>15</v>
      </c>
      <c r="F66">
        <v>2017</v>
      </c>
      <c r="G66" t="s">
        <v>12</v>
      </c>
      <c r="H66" s="1">
        <f>bestsellers_with_categories[[#This Row],[Reviews]]*bestsellers_with_categories[[#This Row],[Price]]</f>
        <v>295485</v>
      </c>
      <c r="I66" t="str">
        <f>IF(bestsellers_with_categories[[#This Row],[User Rating]]&gt;40,"recommended","not recommended")</f>
        <v>recommended</v>
      </c>
    </row>
    <row r="67" spans="1:9" x14ac:dyDescent="0.3">
      <c r="A67" t="s">
        <v>83</v>
      </c>
      <c r="B67" t="s">
        <v>84</v>
      </c>
      <c r="C67">
        <v>48</v>
      </c>
      <c r="D67">
        <v>16244</v>
      </c>
      <c r="E67" s="1">
        <v>18</v>
      </c>
      <c r="F67">
        <v>2019</v>
      </c>
      <c r="G67" t="s">
        <v>9</v>
      </c>
      <c r="H67" s="1">
        <f>bestsellers_with_categories[[#This Row],[Reviews]]*bestsellers_with_categories[[#This Row],[Price]]</f>
        <v>292392</v>
      </c>
      <c r="I67" t="str">
        <f>IF(bestsellers_with_categories[[#This Row],[User Rating]]&gt;40,"recommended","not recommended")</f>
        <v>recommended</v>
      </c>
    </row>
    <row r="68" spans="1:9" x14ac:dyDescent="0.3">
      <c r="A68" t="s">
        <v>209</v>
      </c>
      <c r="B68" t="s">
        <v>153</v>
      </c>
      <c r="C68">
        <v>4</v>
      </c>
      <c r="D68">
        <v>23973</v>
      </c>
      <c r="E68" s="1">
        <v>12</v>
      </c>
      <c r="F68">
        <v>2016</v>
      </c>
      <c r="G68" t="s">
        <v>12</v>
      </c>
      <c r="H68" s="1">
        <f>bestsellers_with_categories[[#This Row],[Reviews]]*bestsellers_with_categories[[#This Row],[Price]]</f>
        <v>287676</v>
      </c>
      <c r="I68" t="str">
        <f>IF(bestsellers_with_categories[[#This Row],[User Rating]]&gt;40,"recommended","not recommended")</f>
        <v>not recommended</v>
      </c>
    </row>
    <row r="69" spans="1:9" x14ac:dyDescent="0.3">
      <c r="A69" t="s">
        <v>13</v>
      </c>
      <c r="B69" t="s">
        <v>14</v>
      </c>
      <c r="C69">
        <v>47</v>
      </c>
      <c r="D69">
        <v>18979</v>
      </c>
      <c r="E69" s="1">
        <v>15</v>
      </c>
      <c r="F69">
        <v>2018</v>
      </c>
      <c r="G69" t="s">
        <v>9</v>
      </c>
      <c r="H69" s="1">
        <f>bestsellers_with_categories[[#This Row],[Reviews]]*bestsellers_with_categories[[#This Row],[Price]]</f>
        <v>284685</v>
      </c>
      <c r="I69" t="str">
        <f>IF(bestsellers_with_categories[[#This Row],[User Rating]]&gt;40,"recommended","not recommended")</f>
        <v>recommended</v>
      </c>
    </row>
    <row r="70" spans="1:9" x14ac:dyDescent="0.3">
      <c r="A70" t="s">
        <v>183</v>
      </c>
      <c r="B70" t="s">
        <v>184</v>
      </c>
      <c r="C70">
        <v>36</v>
      </c>
      <c r="D70">
        <v>14982</v>
      </c>
      <c r="E70" s="1">
        <v>19</v>
      </c>
      <c r="F70">
        <v>2015</v>
      </c>
      <c r="G70" t="s">
        <v>12</v>
      </c>
      <c r="H70" s="1">
        <f>bestsellers_with_categories[[#This Row],[Reviews]]*bestsellers_with_categories[[#This Row],[Price]]</f>
        <v>284658</v>
      </c>
      <c r="I70" t="str">
        <f>IF(bestsellers_with_categories[[#This Row],[User Rating]]&gt;40,"recommended","not recommended")</f>
        <v>not recommended</v>
      </c>
    </row>
    <row r="71" spans="1:9" x14ac:dyDescent="0.3">
      <c r="A71" t="s">
        <v>410</v>
      </c>
      <c r="B71" t="s">
        <v>411</v>
      </c>
      <c r="C71">
        <v>48</v>
      </c>
      <c r="D71">
        <v>23358</v>
      </c>
      <c r="E71" s="1">
        <v>12</v>
      </c>
      <c r="F71">
        <v>2014</v>
      </c>
      <c r="G71" t="s">
        <v>9</v>
      </c>
      <c r="H71" s="1">
        <f>bestsellers_with_categories[[#This Row],[Reviews]]*bestsellers_with_categories[[#This Row],[Price]]</f>
        <v>280296</v>
      </c>
      <c r="I71" t="str">
        <f>IF(bestsellers_with_categories[[#This Row],[User Rating]]&gt;40,"recommended","not recommended")</f>
        <v>recommended</v>
      </c>
    </row>
    <row r="72" spans="1:9" x14ac:dyDescent="0.3">
      <c r="A72" t="s">
        <v>410</v>
      </c>
      <c r="B72" t="s">
        <v>411</v>
      </c>
      <c r="C72">
        <v>48</v>
      </c>
      <c r="D72">
        <v>23358</v>
      </c>
      <c r="E72" s="1">
        <v>12</v>
      </c>
      <c r="F72">
        <v>2015</v>
      </c>
      <c r="G72" t="s">
        <v>9</v>
      </c>
      <c r="H72" s="1">
        <f>bestsellers_with_categories[[#This Row],[Reviews]]*bestsellers_with_categories[[#This Row],[Price]]</f>
        <v>280296</v>
      </c>
      <c r="I72" t="str">
        <f>IF(bestsellers_with_categories[[#This Row],[User Rating]]&gt;40,"recommended","not recommended")</f>
        <v>recommended</v>
      </c>
    </row>
    <row r="73" spans="1:9" x14ac:dyDescent="0.3">
      <c r="A73" t="s">
        <v>225</v>
      </c>
      <c r="B73" t="s">
        <v>226</v>
      </c>
      <c r="C73">
        <v>47</v>
      </c>
      <c r="D73">
        <v>25001</v>
      </c>
      <c r="E73" s="1">
        <v>11</v>
      </c>
      <c r="F73">
        <v>2014</v>
      </c>
      <c r="G73" t="s">
        <v>9</v>
      </c>
      <c r="H73" s="1">
        <f>bestsellers_with_categories[[#This Row],[Reviews]]*bestsellers_with_categories[[#This Row],[Price]]</f>
        <v>275011</v>
      </c>
      <c r="I73" t="str">
        <f>IF(bestsellers_with_categories[[#This Row],[User Rating]]&gt;40,"recommended","not recommended")</f>
        <v>recommended</v>
      </c>
    </row>
    <row r="74" spans="1:9" x14ac:dyDescent="0.3">
      <c r="A74" t="s">
        <v>225</v>
      </c>
      <c r="B74" t="s">
        <v>226</v>
      </c>
      <c r="C74">
        <v>47</v>
      </c>
      <c r="D74">
        <v>25001</v>
      </c>
      <c r="E74" s="1">
        <v>11</v>
      </c>
      <c r="F74">
        <v>2015</v>
      </c>
      <c r="G74" t="s">
        <v>9</v>
      </c>
      <c r="H74" s="1">
        <f>bestsellers_with_categories[[#This Row],[Reviews]]*bestsellers_with_categories[[#This Row],[Price]]</f>
        <v>275011</v>
      </c>
      <c r="I74" t="str">
        <f>IF(bestsellers_with_categories[[#This Row],[User Rating]]&gt;40,"recommended","not recommended")</f>
        <v>recommended</v>
      </c>
    </row>
    <row r="75" spans="1:9" x14ac:dyDescent="0.3">
      <c r="A75" t="s">
        <v>225</v>
      </c>
      <c r="B75" t="s">
        <v>226</v>
      </c>
      <c r="C75">
        <v>47</v>
      </c>
      <c r="D75">
        <v>25001</v>
      </c>
      <c r="E75" s="1">
        <v>11</v>
      </c>
      <c r="F75">
        <v>2016</v>
      </c>
      <c r="G75" t="s">
        <v>9</v>
      </c>
      <c r="H75" s="1">
        <f>bestsellers_with_categories[[#This Row],[Reviews]]*bestsellers_with_categories[[#This Row],[Price]]</f>
        <v>275011</v>
      </c>
      <c r="I75" t="str">
        <f>IF(bestsellers_with_categories[[#This Row],[User Rating]]&gt;40,"recommended","not recommended")</f>
        <v>recommended</v>
      </c>
    </row>
    <row r="76" spans="1:9" x14ac:dyDescent="0.3">
      <c r="A76" t="s">
        <v>225</v>
      </c>
      <c r="B76" t="s">
        <v>226</v>
      </c>
      <c r="C76">
        <v>47</v>
      </c>
      <c r="D76">
        <v>25001</v>
      </c>
      <c r="E76" s="1">
        <v>11</v>
      </c>
      <c r="F76">
        <v>2017</v>
      </c>
      <c r="G76" t="s">
        <v>9</v>
      </c>
      <c r="H76" s="1">
        <f>bestsellers_with_categories[[#This Row],[Reviews]]*bestsellers_with_categories[[#This Row],[Price]]</f>
        <v>275011</v>
      </c>
      <c r="I76" t="str">
        <f>IF(bestsellers_with_categories[[#This Row],[User Rating]]&gt;40,"recommended","not recommended")</f>
        <v>recommended</v>
      </c>
    </row>
    <row r="77" spans="1:9" x14ac:dyDescent="0.3">
      <c r="A77" t="s">
        <v>225</v>
      </c>
      <c r="B77" t="s">
        <v>226</v>
      </c>
      <c r="C77">
        <v>47</v>
      </c>
      <c r="D77">
        <v>25001</v>
      </c>
      <c r="E77" s="1">
        <v>11</v>
      </c>
      <c r="F77">
        <v>2018</v>
      </c>
      <c r="G77" t="s">
        <v>9</v>
      </c>
      <c r="H77" s="1">
        <f>bestsellers_with_categories[[#This Row],[Reviews]]*bestsellers_with_categories[[#This Row],[Price]]</f>
        <v>275011</v>
      </c>
      <c r="I77" t="str">
        <f>IF(bestsellers_with_categories[[#This Row],[User Rating]]&gt;40,"recommended","not recommended")</f>
        <v>recommended</v>
      </c>
    </row>
    <row r="78" spans="1:9" x14ac:dyDescent="0.3">
      <c r="A78" t="s">
        <v>347</v>
      </c>
      <c r="B78" t="s">
        <v>348</v>
      </c>
      <c r="C78">
        <v>46</v>
      </c>
      <c r="D78">
        <v>22536</v>
      </c>
      <c r="E78" s="1">
        <v>12</v>
      </c>
      <c r="F78">
        <v>2017</v>
      </c>
      <c r="G78" t="s">
        <v>12</v>
      </c>
      <c r="H78" s="1">
        <f>bestsellers_with_categories[[#This Row],[Reviews]]*bestsellers_with_categories[[#This Row],[Price]]</f>
        <v>270432</v>
      </c>
      <c r="I78" t="str">
        <f>IF(bestsellers_with_categories[[#This Row],[User Rating]]&gt;40,"recommended","not recommended")</f>
        <v>recommended</v>
      </c>
    </row>
    <row r="79" spans="1:9" x14ac:dyDescent="0.3">
      <c r="A79" t="s">
        <v>347</v>
      </c>
      <c r="B79" t="s">
        <v>348</v>
      </c>
      <c r="C79">
        <v>46</v>
      </c>
      <c r="D79">
        <v>22536</v>
      </c>
      <c r="E79" s="1">
        <v>12</v>
      </c>
      <c r="F79">
        <v>2018</v>
      </c>
      <c r="G79" t="s">
        <v>12</v>
      </c>
      <c r="H79" s="1">
        <f>bestsellers_with_categories[[#This Row],[Reviews]]*bestsellers_with_categories[[#This Row],[Price]]</f>
        <v>270432</v>
      </c>
      <c r="I79" t="str">
        <f>IF(bestsellers_with_categories[[#This Row],[User Rating]]&gt;40,"recommended","not recommended")</f>
        <v>recommended</v>
      </c>
    </row>
    <row r="80" spans="1:9" x14ac:dyDescent="0.3">
      <c r="A80" t="s">
        <v>181</v>
      </c>
      <c r="B80" t="s">
        <v>180</v>
      </c>
      <c r="C80">
        <v>46</v>
      </c>
      <c r="D80">
        <v>22288</v>
      </c>
      <c r="E80" s="1">
        <v>12</v>
      </c>
      <c r="F80">
        <v>2018</v>
      </c>
      <c r="G80" t="s">
        <v>9</v>
      </c>
      <c r="H80" s="1">
        <f>bestsellers_with_categories[[#This Row],[Reviews]]*bestsellers_with_categories[[#This Row],[Price]]</f>
        <v>267456</v>
      </c>
      <c r="I80" t="str">
        <f>IF(bestsellers_with_categories[[#This Row],[User Rating]]&gt;40,"recommended","not recommended")</f>
        <v>recommended</v>
      </c>
    </row>
    <row r="81" spans="1:9" x14ac:dyDescent="0.3">
      <c r="A81" t="s">
        <v>181</v>
      </c>
      <c r="B81" t="s">
        <v>180</v>
      </c>
      <c r="C81">
        <v>46</v>
      </c>
      <c r="D81">
        <v>22288</v>
      </c>
      <c r="E81" s="1">
        <v>12</v>
      </c>
      <c r="F81">
        <v>2019</v>
      </c>
      <c r="G81" t="s">
        <v>9</v>
      </c>
      <c r="H81" s="1">
        <f>bestsellers_with_categories[[#This Row],[Reviews]]*bestsellers_with_categories[[#This Row],[Price]]</f>
        <v>267456</v>
      </c>
      <c r="I81" t="str">
        <f>IF(bestsellers_with_categories[[#This Row],[User Rating]]&gt;40,"recommended","not recommended")</f>
        <v>recommended</v>
      </c>
    </row>
    <row r="82" spans="1:9" x14ac:dyDescent="0.3">
      <c r="A82" t="s">
        <v>510</v>
      </c>
      <c r="B82" t="s">
        <v>377</v>
      </c>
      <c r="C82">
        <v>43</v>
      </c>
      <c r="D82">
        <v>14493</v>
      </c>
      <c r="E82" s="1">
        <v>18</v>
      </c>
      <c r="F82">
        <v>2012</v>
      </c>
      <c r="G82" t="s">
        <v>12</v>
      </c>
      <c r="H82" s="1">
        <f>bestsellers_with_categories[[#This Row],[Reviews]]*bestsellers_with_categories[[#This Row],[Price]]</f>
        <v>260874</v>
      </c>
      <c r="I82" t="str">
        <f>IF(bestsellers_with_categories[[#This Row],[User Rating]]&gt;40,"recommended","not recommended")</f>
        <v>recommended</v>
      </c>
    </row>
    <row r="83" spans="1:9" x14ac:dyDescent="0.3">
      <c r="A83" t="s">
        <v>461</v>
      </c>
      <c r="B83" t="s">
        <v>88</v>
      </c>
      <c r="C83">
        <v>47</v>
      </c>
      <c r="D83">
        <v>32122</v>
      </c>
      <c r="E83" s="1">
        <v>8</v>
      </c>
      <c r="F83">
        <v>2011</v>
      </c>
      <c r="G83" t="s">
        <v>12</v>
      </c>
      <c r="H83" s="1">
        <f>bestsellers_with_categories[[#This Row],[Reviews]]*bestsellers_with_categories[[#This Row],[Price]]</f>
        <v>256976</v>
      </c>
      <c r="I83" t="str">
        <f>IF(bestsellers_with_categories[[#This Row],[User Rating]]&gt;40,"recommended","not recommended")</f>
        <v>recommended</v>
      </c>
    </row>
    <row r="84" spans="1:9" x14ac:dyDescent="0.3">
      <c r="A84" t="s">
        <v>461</v>
      </c>
      <c r="B84" t="s">
        <v>88</v>
      </c>
      <c r="C84">
        <v>47</v>
      </c>
      <c r="D84">
        <v>32122</v>
      </c>
      <c r="E84" s="1">
        <v>8</v>
      </c>
      <c r="F84">
        <v>2012</v>
      </c>
      <c r="G84" t="s">
        <v>12</v>
      </c>
      <c r="H84" s="1">
        <f>bestsellers_with_categories[[#This Row],[Reviews]]*bestsellers_with_categories[[#This Row],[Price]]</f>
        <v>256976</v>
      </c>
      <c r="I84" t="str">
        <f>IF(bestsellers_with_categories[[#This Row],[User Rating]]&gt;40,"recommended","not recommended")</f>
        <v>recommended</v>
      </c>
    </row>
    <row r="85" spans="1:9" x14ac:dyDescent="0.3">
      <c r="A85" t="s">
        <v>555</v>
      </c>
      <c r="B85" t="s">
        <v>556</v>
      </c>
      <c r="C85">
        <v>46</v>
      </c>
      <c r="D85">
        <v>11128</v>
      </c>
      <c r="E85" s="1">
        <v>23</v>
      </c>
      <c r="F85">
        <v>2014</v>
      </c>
      <c r="G85" t="s">
        <v>9</v>
      </c>
      <c r="H85" s="1">
        <f>bestsellers_with_categories[[#This Row],[Reviews]]*bestsellers_with_categories[[#This Row],[Price]]</f>
        <v>255944</v>
      </c>
      <c r="I85" t="str">
        <f>IF(bestsellers_with_categories[[#This Row],[User Rating]]&gt;40,"recommended","not recommended")</f>
        <v>recommended</v>
      </c>
    </row>
    <row r="86" spans="1:9" x14ac:dyDescent="0.3">
      <c r="A86" t="s">
        <v>555</v>
      </c>
      <c r="B86" t="s">
        <v>556</v>
      </c>
      <c r="C86">
        <v>46</v>
      </c>
      <c r="D86">
        <v>11128</v>
      </c>
      <c r="E86" s="1">
        <v>23</v>
      </c>
      <c r="F86">
        <v>2015</v>
      </c>
      <c r="G86" t="s">
        <v>9</v>
      </c>
      <c r="H86" s="1">
        <f>bestsellers_with_categories[[#This Row],[Reviews]]*bestsellers_with_categories[[#This Row],[Price]]</f>
        <v>255944</v>
      </c>
      <c r="I86" t="str">
        <f>IF(bestsellers_with_categories[[#This Row],[User Rating]]&gt;40,"recommended","not recommended")</f>
        <v>recommended</v>
      </c>
    </row>
    <row r="87" spans="1:9" x14ac:dyDescent="0.3">
      <c r="A87" t="s">
        <v>555</v>
      </c>
      <c r="B87" t="s">
        <v>556</v>
      </c>
      <c r="C87">
        <v>46</v>
      </c>
      <c r="D87">
        <v>11128</v>
      </c>
      <c r="E87" s="1">
        <v>23</v>
      </c>
      <c r="F87">
        <v>2016</v>
      </c>
      <c r="G87" t="s">
        <v>9</v>
      </c>
      <c r="H87" s="1">
        <f>bestsellers_with_categories[[#This Row],[Reviews]]*bestsellers_with_categories[[#This Row],[Price]]</f>
        <v>255944</v>
      </c>
      <c r="I87" t="str">
        <f>IF(bestsellers_with_categories[[#This Row],[User Rating]]&gt;40,"recommended","not recommended")</f>
        <v>recommended</v>
      </c>
    </row>
    <row r="88" spans="1:9" x14ac:dyDescent="0.3">
      <c r="A88" t="s">
        <v>555</v>
      </c>
      <c r="B88" t="s">
        <v>556</v>
      </c>
      <c r="C88">
        <v>46</v>
      </c>
      <c r="D88">
        <v>11128</v>
      </c>
      <c r="E88" s="1">
        <v>23</v>
      </c>
      <c r="F88">
        <v>2017</v>
      </c>
      <c r="G88" t="s">
        <v>9</v>
      </c>
      <c r="H88" s="1">
        <f>bestsellers_with_categories[[#This Row],[Reviews]]*bestsellers_with_categories[[#This Row],[Price]]</f>
        <v>255944</v>
      </c>
      <c r="I88" t="str">
        <f>IF(bestsellers_with_categories[[#This Row],[User Rating]]&gt;40,"recommended","not recommended")</f>
        <v>recommended</v>
      </c>
    </row>
    <row r="89" spans="1:9" x14ac:dyDescent="0.3">
      <c r="A89" t="s">
        <v>474</v>
      </c>
      <c r="B89" t="s">
        <v>475</v>
      </c>
      <c r="C89">
        <v>45</v>
      </c>
      <c r="D89">
        <v>22641</v>
      </c>
      <c r="E89" s="1">
        <v>11</v>
      </c>
      <c r="F89">
        <v>2015</v>
      </c>
      <c r="G89" t="s">
        <v>9</v>
      </c>
      <c r="H89" s="1">
        <f>bestsellers_with_categories[[#This Row],[Reviews]]*bestsellers_with_categories[[#This Row],[Price]]</f>
        <v>249051</v>
      </c>
      <c r="I89" t="str">
        <f>IF(bestsellers_with_categories[[#This Row],[User Rating]]&gt;40,"recommended","not recommended")</f>
        <v>recommended</v>
      </c>
    </row>
    <row r="90" spans="1:9" x14ac:dyDescent="0.3">
      <c r="A90" t="s">
        <v>474</v>
      </c>
      <c r="B90" t="s">
        <v>475</v>
      </c>
      <c r="C90">
        <v>45</v>
      </c>
      <c r="D90">
        <v>22641</v>
      </c>
      <c r="E90" s="1">
        <v>11</v>
      </c>
      <c r="F90">
        <v>2016</v>
      </c>
      <c r="G90" t="s">
        <v>9</v>
      </c>
      <c r="H90" s="1">
        <f>bestsellers_with_categories[[#This Row],[Reviews]]*bestsellers_with_categories[[#This Row],[Price]]</f>
        <v>249051</v>
      </c>
      <c r="I90" t="str">
        <f>IF(bestsellers_with_categories[[#This Row],[User Rating]]&gt;40,"recommended","not recommended")</f>
        <v>recommended</v>
      </c>
    </row>
    <row r="91" spans="1:9" x14ac:dyDescent="0.3">
      <c r="A91" t="s">
        <v>474</v>
      </c>
      <c r="B91" t="s">
        <v>475</v>
      </c>
      <c r="C91">
        <v>45</v>
      </c>
      <c r="D91">
        <v>22641</v>
      </c>
      <c r="E91" s="1">
        <v>11</v>
      </c>
      <c r="F91">
        <v>2017</v>
      </c>
      <c r="G91" t="s">
        <v>9</v>
      </c>
      <c r="H91" s="1">
        <f>bestsellers_with_categories[[#This Row],[Reviews]]*bestsellers_with_categories[[#This Row],[Price]]</f>
        <v>249051</v>
      </c>
      <c r="I91" t="str">
        <f>IF(bestsellers_with_categories[[#This Row],[User Rating]]&gt;40,"recommended","not recommended")</f>
        <v>recommended</v>
      </c>
    </row>
    <row r="92" spans="1:9" x14ac:dyDescent="0.3">
      <c r="A92" t="s">
        <v>474</v>
      </c>
      <c r="B92" t="s">
        <v>475</v>
      </c>
      <c r="C92">
        <v>45</v>
      </c>
      <c r="D92">
        <v>22641</v>
      </c>
      <c r="E92" s="1">
        <v>11</v>
      </c>
      <c r="F92">
        <v>2019</v>
      </c>
      <c r="G92" t="s">
        <v>9</v>
      </c>
      <c r="H92" s="1">
        <f>bestsellers_with_categories[[#This Row],[Reviews]]*bestsellers_with_categories[[#This Row],[Price]]</f>
        <v>249051</v>
      </c>
      <c r="I92" t="str">
        <f>IF(bestsellers_with_categories[[#This Row],[User Rating]]&gt;40,"recommended","not recommended")</f>
        <v>recommended</v>
      </c>
    </row>
    <row r="93" spans="1:9" x14ac:dyDescent="0.3">
      <c r="A93" t="s">
        <v>87</v>
      </c>
      <c r="B93" t="s">
        <v>88</v>
      </c>
      <c r="C93">
        <v>47</v>
      </c>
      <c r="D93">
        <v>22614</v>
      </c>
      <c r="E93" s="1">
        <v>11</v>
      </c>
      <c r="F93">
        <v>2010</v>
      </c>
      <c r="G93" t="s">
        <v>12</v>
      </c>
      <c r="H93" s="1">
        <f>bestsellers_with_categories[[#This Row],[Reviews]]*bestsellers_with_categories[[#This Row],[Price]]</f>
        <v>248754</v>
      </c>
      <c r="I93" t="str">
        <f>IF(bestsellers_with_categories[[#This Row],[User Rating]]&gt;40,"recommended","not recommended")</f>
        <v>recommended</v>
      </c>
    </row>
    <row r="94" spans="1:9" x14ac:dyDescent="0.3">
      <c r="A94" t="s">
        <v>87</v>
      </c>
      <c r="B94" t="s">
        <v>88</v>
      </c>
      <c r="C94">
        <v>47</v>
      </c>
      <c r="D94">
        <v>22614</v>
      </c>
      <c r="E94" s="1">
        <v>11</v>
      </c>
      <c r="F94">
        <v>2011</v>
      </c>
      <c r="G94" t="s">
        <v>12</v>
      </c>
      <c r="H94" s="1">
        <f>bestsellers_with_categories[[#This Row],[Reviews]]*bestsellers_with_categories[[#This Row],[Price]]</f>
        <v>248754</v>
      </c>
      <c r="I94" t="str">
        <f>IF(bestsellers_with_categories[[#This Row],[User Rating]]&gt;40,"recommended","not recommended")</f>
        <v>recommended</v>
      </c>
    </row>
    <row r="95" spans="1:9" x14ac:dyDescent="0.3">
      <c r="A95" t="s">
        <v>87</v>
      </c>
      <c r="B95" t="s">
        <v>88</v>
      </c>
      <c r="C95">
        <v>47</v>
      </c>
      <c r="D95">
        <v>22614</v>
      </c>
      <c r="E95" s="1">
        <v>11</v>
      </c>
      <c r="F95">
        <v>2012</v>
      </c>
      <c r="G95" t="s">
        <v>12</v>
      </c>
      <c r="H95" s="1">
        <f>bestsellers_with_categories[[#This Row],[Reviews]]*bestsellers_with_categories[[#This Row],[Price]]</f>
        <v>248754</v>
      </c>
      <c r="I95" t="str">
        <f>IF(bestsellers_with_categories[[#This Row],[User Rating]]&gt;40,"recommended","not recommended")</f>
        <v>recommended</v>
      </c>
    </row>
    <row r="96" spans="1:9" x14ac:dyDescent="0.3">
      <c r="A96" t="s">
        <v>326</v>
      </c>
      <c r="B96" t="s">
        <v>245</v>
      </c>
      <c r="C96">
        <v>43</v>
      </c>
      <c r="D96">
        <v>18904</v>
      </c>
      <c r="E96" s="1">
        <v>13</v>
      </c>
      <c r="F96">
        <v>2017</v>
      </c>
      <c r="G96" t="s">
        <v>12</v>
      </c>
      <c r="H96" s="1">
        <f>bestsellers_with_categories[[#This Row],[Reviews]]*bestsellers_with_categories[[#This Row],[Price]]</f>
        <v>245752</v>
      </c>
      <c r="I96" t="str">
        <f>IF(bestsellers_with_categories[[#This Row],[User Rating]]&gt;40,"recommended","not recommended")</f>
        <v>recommended</v>
      </c>
    </row>
    <row r="97" spans="1:9" x14ac:dyDescent="0.3">
      <c r="A97" t="s">
        <v>327</v>
      </c>
      <c r="B97" t="s">
        <v>328</v>
      </c>
      <c r="C97">
        <v>46</v>
      </c>
      <c r="D97">
        <v>21930</v>
      </c>
      <c r="E97" s="1">
        <v>11</v>
      </c>
      <c r="F97">
        <v>2014</v>
      </c>
      <c r="G97" t="s">
        <v>12</v>
      </c>
      <c r="H97" s="1">
        <f>bestsellers_with_categories[[#This Row],[Reviews]]*bestsellers_with_categories[[#This Row],[Price]]</f>
        <v>241230</v>
      </c>
      <c r="I97" t="str">
        <f>IF(bestsellers_with_categories[[#This Row],[User Rating]]&gt;40,"recommended","not recommended")</f>
        <v>recommended</v>
      </c>
    </row>
    <row r="98" spans="1:9" x14ac:dyDescent="0.3">
      <c r="A98" t="s">
        <v>507</v>
      </c>
      <c r="B98" t="s">
        <v>508</v>
      </c>
      <c r="C98">
        <v>46</v>
      </c>
      <c r="D98">
        <v>10795</v>
      </c>
      <c r="E98" s="1">
        <v>21</v>
      </c>
      <c r="F98">
        <v>2012</v>
      </c>
      <c r="G98" t="s">
        <v>9</v>
      </c>
      <c r="H98" s="1">
        <f>bestsellers_with_categories[[#This Row],[Reviews]]*bestsellers_with_categories[[#This Row],[Price]]</f>
        <v>226695</v>
      </c>
      <c r="I98" t="str">
        <f>IF(bestsellers_with_categories[[#This Row],[User Rating]]&gt;40,"recommended","not recommended")</f>
        <v>recommended</v>
      </c>
    </row>
    <row r="99" spans="1:9" x14ac:dyDescent="0.3">
      <c r="A99" t="s">
        <v>389</v>
      </c>
      <c r="B99" t="s">
        <v>390</v>
      </c>
      <c r="C99">
        <v>46</v>
      </c>
      <c r="D99" s="12">
        <v>9325</v>
      </c>
      <c r="E99" s="1">
        <v>24</v>
      </c>
      <c r="F99">
        <v>2009</v>
      </c>
      <c r="G99" s="11" t="s">
        <v>9</v>
      </c>
      <c r="H99" s="1">
        <f>bestsellers_with_categories[[#This Row],[Reviews]]*bestsellers_with_categories[[#This Row],[Price]]</f>
        <v>223800</v>
      </c>
      <c r="I99" t="str">
        <f>IF(bestsellers_with_categories[[#This Row],[User Rating]]&gt;40,"recommended","not recommended")</f>
        <v>recommended</v>
      </c>
    </row>
    <row r="100" spans="1:9" x14ac:dyDescent="0.3">
      <c r="A100" t="s">
        <v>389</v>
      </c>
      <c r="B100" t="s">
        <v>390</v>
      </c>
      <c r="C100">
        <v>46</v>
      </c>
      <c r="D100">
        <v>9325</v>
      </c>
      <c r="E100" s="1">
        <v>24</v>
      </c>
      <c r="F100">
        <v>2011</v>
      </c>
      <c r="G100" t="s">
        <v>9</v>
      </c>
      <c r="H100" s="1">
        <f>bestsellers_with_categories[[#This Row],[Reviews]]*bestsellers_with_categories[[#This Row],[Price]]</f>
        <v>223800</v>
      </c>
      <c r="I100" t="str">
        <f>IF(bestsellers_with_categories[[#This Row],[User Rating]]&gt;40,"recommended","not recommended")</f>
        <v>recommended</v>
      </c>
    </row>
    <row r="101" spans="1:9" x14ac:dyDescent="0.3">
      <c r="A101" t="s">
        <v>389</v>
      </c>
      <c r="B101" t="s">
        <v>390</v>
      </c>
      <c r="C101">
        <v>46</v>
      </c>
      <c r="D101">
        <v>9325</v>
      </c>
      <c r="E101" s="1">
        <v>24</v>
      </c>
      <c r="F101">
        <v>2012</v>
      </c>
      <c r="G101" t="s">
        <v>9</v>
      </c>
      <c r="H101" s="1">
        <f>bestsellers_with_categories[[#This Row],[Reviews]]*bestsellers_with_categories[[#This Row],[Price]]</f>
        <v>223800</v>
      </c>
      <c r="I101" t="str">
        <f>IF(bestsellers_with_categories[[#This Row],[User Rating]]&gt;40,"recommended","not recommended")</f>
        <v>recommended</v>
      </c>
    </row>
    <row r="102" spans="1:9" x14ac:dyDescent="0.3">
      <c r="A102" t="s">
        <v>389</v>
      </c>
      <c r="B102" t="s">
        <v>390</v>
      </c>
      <c r="C102">
        <v>46</v>
      </c>
      <c r="D102">
        <v>9325</v>
      </c>
      <c r="E102" s="1">
        <v>24</v>
      </c>
      <c r="F102">
        <v>2013</v>
      </c>
      <c r="G102" t="s">
        <v>9</v>
      </c>
      <c r="H102" s="1">
        <f>bestsellers_with_categories[[#This Row],[Reviews]]*bestsellers_with_categories[[#This Row],[Price]]</f>
        <v>223800</v>
      </c>
      <c r="I102" t="str">
        <f>IF(bestsellers_with_categories[[#This Row],[User Rating]]&gt;40,"recommended","not recommended")</f>
        <v>recommended</v>
      </c>
    </row>
    <row r="103" spans="1:9" x14ac:dyDescent="0.3">
      <c r="A103" t="s">
        <v>158</v>
      </c>
      <c r="B103" t="s">
        <v>157</v>
      </c>
      <c r="C103">
        <v>45</v>
      </c>
      <c r="D103">
        <v>20262</v>
      </c>
      <c r="E103" s="1">
        <v>11</v>
      </c>
      <c r="F103">
        <v>2012</v>
      </c>
      <c r="G103" t="s">
        <v>12</v>
      </c>
      <c r="H103" s="1">
        <f>bestsellers_with_categories[[#This Row],[Reviews]]*bestsellers_with_categories[[#This Row],[Price]]</f>
        <v>222882</v>
      </c>
      <c r="I103" t="str">
        <f>IF(bestsellers_with_categories[[#This Row],[User Rating]]&gt;40,"recommended","not recommended")</f>
        <v>recommended</v>
      </c>
    </row>
    <row r="104" spans="1:9" x14ac:dyDescent="0.3">
      <c r="A104" t="s">
        <v>213</v>
      </c>
      <c r="B104" t="s">
        <v>153</v>
      </c>
      <c r="C104">
        <v>49</v>
      </c>
      <c r="D104">
        <v>10052</v>
      </c>
      <c r="E104" s="1">
        <v>22</v>
      </c>
      <c r="F104">
        <v>2016</v>
      </c>
      <c r="G104" t="s">
        <v>12</v>
      </c>
      <c r="H104" s="1">
        <f>bestsellers_with_categories[[#This Row],[Reviews]]*bestsellers_with_categories[[#This Row],[Price]]</f>
        <v>221144</v>
      </c>
      <c r="I104" t="str">
        <f>IF(bestsellers_with_categories[[#This Row],[User Rating]]&gt;40,"recommended","not recommended")</f>
        <v>recommended</v>
      </c>
    </row>
    <row r="105" spans="1:9" x14ac:dyDescent="0.3">
      <c r="A105" t="s">
        <v>221</v>
      </c>
      <c r="B105" t="s">
        <v>222</v>
      </c>
      <c r="C105">
        <v>44</v>
      </c>
      <c r="D105">
        <v>15526</v>
      </c>
      <c r="E105" s="1">
        <v>14</v>
      </c>
      <c r="F105">
        <v>2016</v>
      </c>
      <c r="G105" t="s">
        <v>9</v>
      </c>
      <c r="H105" s="1">
        <f>bestsellers_with_categories[[#This Row],[Reviews]]*bestsellers_with_categories[[#This Row],[Price]]</f>
        <v>217364</v>
      </c>
      <c r="I105" t="str">
        <f>IF(bestsellers_with_categories[[#This Row],[User Rating]]&gt;40,"recommended","not recommended")</f>
        <v>recommended</v>
      </c>
    </row>
    <row r="106" spans="1:9" x14ac:dyDescent="0.3">
      <c r="A106" t="s">
        <v>221</v>
      </c>
      <c r="B106" t="s">
        <v>222</v>
      </c>
      <c r="C106">
        <v>44</v>
      </c>
      <c r="D106">
        <v>15526</v>
      </c>
      <c r="E106" s="1">
        <v>14</v>
      </c>
      <c r="F106">
        <v>2017</v>
      </c>
      <c r="G106" t="s">
        <v>9</v>
      </c>
      <c r="H106" s="1">
        <f>bestsellers_with_categories[[#This Row],[Reviews]]*bestsellers_with_categories[[#This Row],[Price]]</f>
        <v>217364</v>
      </c>
      <c r="I106" t="str">
        <f>IF(bestsellers_with_categories[[#This Row],[User Rating]]&gt;40,"recommended","not recommended")</f>
        <v>recommended</v>
      </c>
    </row>
    <row r="107" spans="1:9" x14ac:dyDescent="0.3">
      <c r="A107" t="s">
        <v>260</v>
      </c>
      <c r="B107" t="s">
        <v>259</v>
      </c>
      <c r="C107">
        <v>46</v>
      </c>
      <c r="D107">
        <v>8634</v>
      </c>
      <c r="E107" s="1">
        <v>25</v>
      </c>
      <c r="F107">
        <v>2012</v>
      </c>
      <c r="G107" t="s">
        <v>9</v>
      </c>
      <c r="H107" s="1">
        <f>bestsellers_with_categories[[#This Row],[Reviews]]*bestsellers_with_categories[[#This Row],[Price]]</f>
        <v>215850</v>
      </c>
      <c r="I107" t="str">
        <f>IF(bestsellers_with_categories[[#This Row],[User Rating]]&gt;40,"recommended","not recommended")</f>
        <v>recommended</v>
      </c>
    </row>
    <row r="108" spans="1:9" x14ac:dyDescent="0.3">
      <c r="A108" t="s">
        <v>306</v>
      </c>
      <c r="B108" t="s">
        <v>88</v>
      </c>
      <c r="C108">
        <v>45</v>
      </c>
      <c r="D108">
        <v>26741</v>
      </c>
      <c r="E108" s="1">
        <v>8</v>
      </c>
      <c r="F108">
        <v>2010</v>
      </c>
      <c r="G108" t="s">
        <v>12</v>
      </c>
      <c r="H108" s="1">
        <f>bestsellers_with_categories[[#This Row],[Reviews]]*bestsellers_with_categories[[#This Row],[Price]]</f>
        <v>213928</v>
      </c>
      <c r="I108" t="str">
        <f>IF(bestsellers_with_categories[[#This Row],[User Rating]]&gt;40,"recommended","not recommended")</f>
        <v>recommended</v>
      </c>
    </row>
    <row r="109" spans="1:9" x14ac:dyDescent="0.3">
      <c r="A109" t="s">
        <v>306</v>
      </c>
      <c r="B109" t="s">
        <v>88</v>
      </c>
      <c r="C109">
        <v>45</v>
      </c>
      <c r="D109">
        <v>26741</v>
      </c>
      <c r="E109" s="1">
        <v>8</v>
      </c>
      <c r="F109">
        <v>2011</v>
      </c>
      <c r="G109" t="s">
        <v>12</v>
      </c>
      <c r="H109" s="1">
        <f>bestsellers_with_categories[[#This Row],[Reviews]]*bestsellers_with_categories[[#This Row],[Price]]</f>
        <v>213928</v>
      </c>
      <c r="I109" t="str">
        <f>IF(bestsellers_with_categories[[#This Row],[User Rating]]&gt;40,"recommended","not recommended")</f>
        <v>recommended</v>
      </c>
    </row>
    <row r="110" spans="1:9" x14ac:dyDescent="0.3">
      <c r="A110" t="s">
        <v>306</v>
      </c>
      <c r="B110" t="s">
        <v>88</v>
      </c>
      <c r="C110">
        <v>45</v>
      </c>
      <c r="D110">
        <v>26741</v>
      </c>
      <c r="E110" s="1">
        <v>8</v>
      </c>
      <c r="F110">
        <v>2012</v>
      </c>
      <c r="G110" t="s">
        <v>12</v>
      </c>
      <c r="H110" s="1">
        <f>bestsellers_with_categories[[#This Row],[Reviews]]*bestsellers_with_categories[[#This Row],[Price]]</f>
        <v>213928</v>
      </c>
      <c r="I110" t="str">
        <f>IF(bestsellers_with_categories[[#This Row],[User Rating]]&gt;40,"recommended","not recommended")</f>
        <v>recommended</v>
      </c>
    </row>
    <row r="111" spans="1:9" x14ac:dyDescent="0.3">
      <c r="A111" t="s">
        <v>547</v>
      </c>
      <c r="B111" t="s">
        <v>548</v>
      </c>
      <c r="C111">
        <v>46</v>
      </c>
      <c r="D111">
        <v>11034</v>
      </c>
      <c r="E111" s="1">
        <v>19</v>
      </c>
      <c r="F111">
        <v>2011</v>
      </c>
      <c r="G111" t="s">
        <v>9</v>
      </c>
      <c r="H111" s="1">
        <f>bestsellers_with_categories[[#This Row],[Reviews]]*bestsellers_with_categories[[#This Row],[Price]]</f>
        <v>209646</v>
      </c>
      <c r="I111" t="str">
        <f>IF(bestsellers_with_categories[[#This Row],[User Rating]]&gt;40,"recommended","not recommended")</f>
        <v>recommended</v>
      </c>
    </row>
    <row r="112" spans="1:9" x14ac:dyDescent="0.3">
      <c r="A112" t="s">
        <v>547</v>
      </c>
      <c r="B112" t="s">
        <v>548</v>
      </c>
      <c r="C112">
        <v>46</v>
      </c>
      <c r="D112">
        <v>11034</v>
      </c>
      <c r="E112" s="1">
        <v>19</v>
      </c>
      <c r="F112">
        <v>2012</v>
      </c>
      <c r="G112" t="s">
        <v>9</v>
      </c>
      <c r="H112" s="1">
        <f>bestsellers_with_categories[[#This Row],[Reviews]]*bestsellers_with_categories[[#This Row],[Price]]</f>
        <v>209646</v>
      </c>
      <c r="I112" t="str">
        <f>IF(bestsellers_with_categories[[#This Row],[User Rating]]&gt;40,"recommended","not recommended")</f>
        <v>recommended</v>
      </c>
    </row>
    <row r="113" spans="1:9" x14ac:dyDescent="0.3">
      <c r="A113" t="s">
        <v>329</v>
      </c>
      <c r="B113" t="s">
        <v>103</v>
      </c>
      <c r="C113">
        <v>46</v>
      </c>
      <c r="D113" s="12">
        <v>10426</v>
      </c>
      <c r="E113" s="1">
        <v>20</v>
      </c>
      <c r="F113">
        <v>2009</v>
      </c>
      <c r="G113" s="11" t="s">
        <v>9</v>
      </c>
      <c r="H113" s="1">
        <f>bestsellers_with_categories[[#This Row],[Reviews]]*bestsellers_with_categories[[#This Row],[Price]]</f>
        <v>208520</v>
      </c>
      <c r="I113" t="str">
        <f>IF(bestsellers_with_categories[[#This Row],[User Rating]]&gt;40,"recommended","not recommended")</f>
        <v>recommended</v>
      </c>
    </row>
    <row r="114" spans="1:9" x14ac:dyDescent="0.3">
      <c r="A114" t="s">
        <v>329</v>
      </c>
      <c r="B114" t="s">
        <v>103</v>
      </c>
      <c r="C114">
        <v>46</v>
      </c>
      <c r="D114">
        <v>10426</v>
      </c>
      <c r="E114" s="1">
        <v>20</v>
      </c>
      <c r="F114">
        <v>2010</v>
      </c>
      <c r="G114" t="s">
        <v>9</v>
      </c>
      <c r="H114" s="1">
        <f>bestsellers_with_categories[[#This Row],[Reviews]]*bestsellers_with_categories[[#This Row],[Price]]</f>
        <v>208520</v>
      </c>
      <c r="I114" t="str">
        <f>IF(bestsellers_with_categories[[#This Row],[User Rating]]&gt;40,"recommended","not recommended")</f>
        <v>recommended</v>
      </c>
    </row>
    <row r="115" spans="1:9" x14ac:dyDescent="0.3">
      <c r="A115" t="s">
        <v>451</v>
      </c>
      <c r="B115" t="s">
        <v>452</v>
      </c>
      <c r="C115">
        <v>43</v>
      </c>
      <c r="D115">
        <v>29442</v>
      </c>
      <c r="E115" s="1">
        <v>7</v>
      </c>
      <c r="F115">
        <v>2017</v>
      </c>
      <c r="G115" t="s">
        <v>12</v>
      </c>
      <c r="H115" s="1">
        <f>bestsellers_with_categories[[#This Row],[Reviews]]*bestsellers_with_categories[[#This Row],[Price]]</f>
        <v>206094</v>
      </c>
      <c r="I115" t="str">
        <f>IF(bestsellers_with_categories[[#This Row],[User Rating]]&gt;40,"recommended","not recommended")</f>
        <v>recommended</v>
      </c>
    </row>
    <row r="116" spans="1:9" x14ac:dyDescent="0.3">
      <c r="A116" t="s">
        <v>125</v>
      </c>
      <c r="B116" t="s">
        <v>11</v>
      </c>
      <c r="C116">
        <v>47</v>
      </c>
      <c r="D116">
        <v>15845</v>
      </c>
      <c r="E116" s="1">
        <v>13</v>
      </c>
      <c r="F116">
        <v>2013</v>
      </c>
      <c r="G116" t="s">
        <v>12</v>
      </c>
      <c r="H116" s="1">
        <f>bestsellers_with_categories[[#This Row],[Reviews]]*bestsellers_with_categories[[#This Row],[Price]]</f>
        <v>205985</v>
      </c>
      <c r="I116" t="str">
        <f>IF(bestsellers_with_categories[[#This Row],[User Rating]]&gt;40,"recommended","not recommended")</f>
        <v>recommended</v>
      </c>
    </row>
    <row r="117" spans="1:9" x14ac:dyDescent="0.3">
      <c r="A117" t="s">
        <v>386</v>
      </c>
      <c r="B117" t="s">
        <v>385</v>
      </c>
      <c r="C117">
        <v>48</v>
      </c>
      <c r="D117">
        <v>25554</v>
      </c>
      <c r="E117" s="1">
        <v>8</v>
      </c>
      <c r="F117">
        <v>2015</v>
      </c>
      <c r="G117" t="s">
        <v>9</v>
      </c>
      <c r="H117" s="1">
        <f>bestsellers_with_categories[[#This Row],[Reviews]]*bestsellers_with_categories[[#This Row],[Price]]</f>
        <v>204432</v>
      </c>
      <c r="I117" t="str">
        <f>IF(bestsellers_with_categories[[#This Row],[User Rating]]&gt;40,"recommended","not recommended")</f>
        <v>recommended</v>
      </c>
    </row>
    <row r="118" spans="1:9" x14ac:dyDescent="0.3">
      <c r="A118" t="s">
        <v>386</v>
      </c>
      <c r="B118" t="s">
        <v>385</v>
      </c>
      <c r="C118">
        <v>48</v>
      </c>
      <c r="D118">
        <v>25554</v>
      </c>
      <c r="E118" s="1">
        <v>8</v>
      </c>
      <c r="F118">
        <v>2016</v>
      </c>
      <c r="G118" t="s">
        <v>9</v>
      </c>
      <c r="H118" s="1">
        <f>bestsellers_with_categories[[#This Row],[Reviews]]*bestsellers_with_categories[[#This Row],[Price]]</f>
        <v>204432</v>
      </c>
      <c r="I118" t="str">
        <f>IF(bestsellers_with_categories[[#This Row],[User Rating]]&gt;40,"recommended","not recommended")</f>
        <v>recommended</v>
      </c>
    </row>
    <row r="119" spans="1:9" x14ac:dyDescent="0.3">
      <c r="A119" t="s">
        <v>386</v>
      </c>
      <c r="B119" t="s">
        <v>385</v>
      </c>
      <c r="C119">
        <v>48</v>
      </c>
      <c r="D119">
        <v>25554</v>
      </c>
      <c r="E119" s="1">
        <v>8</v>
      </c>
      <c r="F119">
        <v>2017</v>
      </c>
      <c r="G119" t="s">
        <v>9</v>
      </c>
      <c r="H119" s="1">
        <f>bestsellers_with_categories[[#This Row],[Reviews]]*bestsellers_with_categories[[#This Row],[Price]]</f>
        <v>204432</v>
      </c>
      <c r="I119" t="str">
        <f>IF(bestsellers_with_categories[[#This Row],[User Rating]]&gt;40,"recommended","not recommended")</f>
        <v>recommended</v>
      </c>
    </row>
    <row r="120" spans="1:9" x14ac:dyDescent="0.3">
      <c r="A120" t="s">
        <v>386</v>
      </c>
      <c r="B120" t="s">
        <v>385</v>
      </c>
      <c r="C120">
        <v>48</v>
      </c>
      <c r="D120">
        <v>25554</v>
      </c>
      <c r="E120" s="1">
        <v>8</v>
      </c>
      <c r="F120">
        <v>2018</v>
      </c>
      <c r="G120" t="s">
        <v>9</v>
      </c>
      <c r="H120" s="1">
        <f>bestsellers_with_categories[[#This Row],[Reviews]]*bestsellers_with_categories[[#This Row],[Price]]</f>
        <v>204432</v>
      </c>
      <c r="I120" t="str">
        <f>IF(bestsellers_with_categories[[#This Row],[User Rating]]&gt;40,"recommended","not recommended")</f>
        <v>recommended</v>
      </c>
    </row>
    <row r="121" spans="1:9" x14ac:dyDescent="0.3">
      <c r="A121" t="s">
        <v>386</v>
      </c>
      <c r="B121" t="s">
        <v>385</v>
      </c>
      <c r="C121">
        <v>48</v>
      </c>
      <c r="D121">
        <v>25554</v>
      </c>
      <c r="E121" s="1">
        <v>8</v>
      </c>
      <c r="F121">
        <v>2019</v>
      </c>
      <c r="G121" t="s">
        <v>9</v>
      </c>
      <c r="H121" s="1">
        <f>bestsellers_with_categories[[#This Row],[Reviews]]*bestsellers_with_categories[[#This Row],[Price]]</f>
        <v>204432</v>
      </c>
      <c r="I121" t="str">
        <f>IF(bestsellers_with_categories[[#This Row],[User Rating]]&gt;40,"recommended","not recommended")</f>
        <v>recommended</v>
      </c>
    </row>
    <row r="122" spans="1:9" x14ac:dyDescent="0.3">
      <c r="A122" t="s">
        <v>343</v>
      </c>
      <c r="B122" t="s">
        <v>344</v>
      </c>
      <c r="C122">
        <v>46</v>
      </c>
      <c r="D122">
        <v>10009</v>
      </c>
      <c r="E122" s="1">
        <v>20</v>
      </c>
      <c r="F122">
        <v>2012</v>
      </c>
      <c r="G122" t="s">
        <v>9</v>
      </c>
      <c r="H122" s="1">
        <f>bestsellers_with_categories[[#This Row],[Reviews]]*bestsellers_with_categories[[#This Row],[Price]]</f>
        <v>200180</v>
      </c>
      <c r="I122" t="str">
        <f>IF(bestsellers_with_categories[[#This Row],[User Rating]]&gt;40,"recommended","not recommended")</f>
        <v>recommended</v>
      </c>
    </row>
    <row r="123" spans="1:9" x14ac:dyDescent="0.3">
      <c r="A123" t="s">
        <v>603</v>
      </c>
      <c r="B123" t="s">
        <v>604</v>
      </c>
      <c r="C123">
        <v>48</v>
      </c>
      <c r="D123">
        <v>21625</v>
      </c>
      <c r="E123" s="1">
        <v>9</v>
      </c>
      <c r="F123">
        <v>2013</v>
      </c>
      <c r="G123" t="s">
        <v>12</v>
      </c>
      <c r="H123" s="1">
        <f>bestsellers_with_categories[[#This Row],[Reviews]]*bestsellers_with_categories[[#This Row],[Price]]</f>
        <v>194625</v>
      </c>
      <c r="I123" t="str">
        <f>IF(bestsellers_with_categories[[#This Row],[User Rating]]&gt;40,"recommended","not recommended")</f>
        <v>recommended</v>
      </c>
    </row>
    <row r="124" spans="1:9" x14ac:dyDescent="0.3">
      <c r="A124" t="s">
        <v>603</v>
      </c>
      <c r="B124" t="s">
        <v>604</v>
      </c>
      <c r="C124">
        <v>48</v>
      </c>
      <c r="D124">
        <v>21625</v>
      </c>
      <c r="E124" s="1">
        <v>9</v>
      </c>
      <c r="F124">
        <v>2014</v>
      </c>
      <c r="G124" t="s">
        <v>12</v>
      </c>
      <c r="H124" s="1">
        <f>bestsellers_with_categories[[#This Row],[Reviews]]*bestsellers_with_categories[[#This Row],[Price]]</f>
        <v>194625</v>
      </c>
      <c r="I124" t="str">
        <f>IF(bestsellers_with_categories[[#This Row],[User Rating]]&gt;40,"recommended","not recommended")</f>
        <v>recommended</v>
      </c>
    </row>
    <row r="125" spans="1:9" x14ac:dyDescent="0.3">
      <c r="A125" t="s">
        <v>603</v>
      </c>
      <c r="B125" t="s">
        <v>604</v>
      </c>
      <c r="C125">
        <v>48</v>
      </c>
      <c r="D125">
        <v>21625</v>
      </c>
      <c r="E125" s="1">
        <v>9</v>
      </c>
      <c r="F125">
        <v>2015</v>
      </c>
      <c r="G125" t="s">
        <v>12</v>
      </c>
      <c r="H125" s="1">
        <f>bestsellers_with_categories[[#This Row],[Reviews]]*bestsellers_with_categories[[#This Row],[Price]]</f>
        <v>194625</v>
      </c>
      <c r="I125" t="str">
        <f>IF(bestsellers_with_categories[[#This Row],[User Rating]]&gt;40,"recommended","not recommended")</f>
        <v>recommended</v>
      </c>
    </row>
    <row r="126" spans="1:9" x14ac:dyDescent="0.3">
      <c r="A126" t="s">
        <v>603</v>
      </c>
      <c r="B126" t="s">
        <v>604</v>
      </c>
      <c r="C126">
        <v>48</v>
      </c>
      <c r="D126">
        <v>21625</v>
      </c>
      <c r="E126" s="1">
        <v>9</v>
      </c>
      <c r="F126">
        <v>2016</v>
      </c>
      <c r="G126" t="s">
        <v>12</v>
      </c>
      <c r="H126" s="1">
        <f>bestsellers_with_categories[[#This Row],[Reviews]]*bestsellers_with_categories[[#This Row],[Price]]</f>
        <v>194625</v>
      </c>
      <c r="I126" t="str">
        <f>IF(bestsellers_with_categories[[#This Row],[User Rating]]&gt;40,"recommended","not recommended")</f>
        <v>recommended</v>
      </c>
    </row>
    <row r="127" spans="1:9" x14ac:dyDescent="0.3">
      <c r="A127" t="s">
        <v>603</v>
      </c>
      <c r="B127" t="s">
        <v>604</v>
      </c>
      <c r="C127">
        <v>48</v>
      </c>
      <c r="D127">
        <v>21625</v>
      </c>
      <c r="E127" s="1">
        <v>9</v>
      </c>
      <c r="F127">
        <v>2017</v>
      </c>
      <c r="G127" t="s">
        <v>12</v>
      </c>
      <c r="H127" s="1">
        <f>bestsellers_with_categories[[#This Row],[Reviews]]*bestsellers_with_categories[[#This Row],[Price]]</f>
        <v>194625</v>
      </c>
      <c r="I127" t="str">
        <f>IF(bestsellers_with_categories[[#This Row],[User Rating]]&gt;40,"recommended","not recommended")</f>
        <v>recommended</v>
      </c>
    </row>
    <row r="128" spans="1:9" x14ac:dyDescent="0.3">
      <c r="A128" t="s">
        <v>589</v>
      </c>
      <c r="B128" t="s">
        <v>590</v>
      </c>
      <c r="C128">
        <v>48</v>
      </c>
      <c r="D128">
        <v>13779</v>
      </c>
      <c r="E128" s="1">
        <v>14</v>
      </c>
      <c r="F128">
        <v>2016</v>
      </c>
      <c r="G128" t="s">
        <v>9</v>
      </c>
      <c r="H128" s="1">
        <f>bestsellers_with_categories[[#This Row],[Reviews]]*bestsellers_with_categories[[#This Row],[Price]]</f>
        <v>192906</v>
      </c>
      <c r="I128" t="str">
        <f>IF(bestsellers_with_categories[[#This Row],[User Rating]]&gt;40,"recommended","not recommended")</f>
        <v>recommended</v>
      </c>
    </row>
    <row r="129" spans="1:9" x14ac:dyDescent="0.3">
      <c r="A129" t="s">
        <v>26</v>
      </c>
      <c r="B129" t="s">
        <v>27</v>
      </c>
      <c r="C129">
        <v>46</v>
      </c>
      <c r="D129">
        <v>23848</v>
      </c>
      <c r="E129" s="1">
        <v>8</v>
      </c>
      <c r="F129">
        <v>2016</v>
      </c>
      <c r="G129" t="s">
        <v>12</v>
      </c>
      <c r="H129" s="1">
        <f>bestsellers_with_categories[[#This Row],[Reviews]]*bestsellers_with_categories[[#This Row],[Price]]</f>
        <v>190784</v>
      </c>
      <c r="I129" t="str">
        <f>IF(bestsellers_with_categories[[#This Row],[User Rating]]&gt;40,"recommended","not recommended")</f>
        <v>recommended</v>
      </c>
    </row>
    <row r="130" spans="1:9" x14ac:dyDescent="0.3">
      <c r="A130" t="s">
        <v>26</v>
      </c>
      <c r="B130" t="s">
        <v>27</v>
      </c>
      <c r="C130">
        <v>46</v>
      </c>
      <c r="D130">
        <v>23848</v>
      </c>
      <c r="E130" s="1">
        <v>8</v>
      </c>
      <c r="F130">
        <v>2017</v>
      </c>
      <c r="G130" t="s">
        <v>12</v>
      </c>
      <c r="H130" s="1">
        <f>bestsellers_with_categories[[#This Row],[Reviews]]*bestsellers_with_categories[[#This Row],[Price]]</f>
        <v>190784</v>
      </c>
      <c r="I130" t="str">
        <f>IF(bestsellers_with_categories[[#This Row],[User Rating]]&gt;40,"recommended","not recommended")</f>
        <v>recommended</v>
      </c>
    </row>
    <row r="131" spans="1:9" x14ac:dyDescent="0.3">
      <c r="A131" t="s">
        <v>448</v>
      </c>
      <c r="B131" t="s">
        <v>377</v>
      </c>
      <c r="C131">
        <v>45</v>
      </c>
      <c r="D131">
        <v>13609</v>
      </c>
      <c r="E131" s="1">
        <v>14</v>
      </c>
      <c r="F131">
        <v>2019</v>
      </c>
      <c r="G131" t="s">
        <v>12</v>
      </c>
      <c r="H131" s="1">
        <f>bestsellers_with_categories[[#This Row],[Reviews]]*bestsellers_with_categories[[#This Row],[Price]]</f>
        <v>190526</v>
      </c>
      <c r="I131" t="str">
        <f>IF(bestsellers_with_categories[[#This Row],[User Rating]]&gt;40,"recommended","not recommended")</f>
        <v>recommended</v>
      </c>
    </row>
    <row r="132" spans="1:9" x14ac:dyDescent="0.3">
      <c r="A132" t="s">
        <v>559</v>
      </c>
      <c r="B132" t="s">
        <v>184</v>
      </c>
      <c r="C132">
        <v>48</v>
      </c>
      <c r="D132">
        <v>26234</v>
      </c>
      <c r="E132" s="1">
        <v>7</v>
      </c>
      <c r="F132">
        <v>2019</v>
      </c>
      <c r="G132" t="s">
        <v>12</v>
      </c>
      <c r="H132" s="1">
        <f>bestsellers_with_categories[[#This Row],[Reviews]]*bestsellers_with_categories[[#This Row],[Price]]</f>
        <v>183638</v>
      </c>
      <c r="I132" t="str">
        <f>IF(bestsellers_with_categories[[#This Row],[User Rating]]&gt;40,"recommended","not recommended")</f>
        <v>recommended</v>
      </c>
    </row>
    <row r="133" spans="1:9" x14ac:dyDescent="0.3">
      <c r="A133" t="s">
        <v>509</v>
      </c>
      <c r="B133" t="s">
        <v>237</v>
      </c>
      <c r="C133">
        <v>43</v>
      </c>
      <c r="D133">
        <v>10191</v>
      </c>
      <c r="E133" s="1">
        <v>18</v>
      </c>
      <c r="F133">
        <v>2018</v>
      </c>
      <c r="G133" t="s">
        <v>12</v>
      </c>
      <c r="H133" s="1">
        <f>bestsellers_with_categories[[#This Row],[Reviews]]*bestsellers_with_categories[[#This Row],[Price]]</f>
        <v>183438</v>
      </c>
      <c r="I133" t="str">
        <f>IF(bestsellers_with_categories[[#This Row],[User Rating]]&gt;40,"recommended","not recommended")</f>
        <v>recommended</v>
      </c>
    </row>
    <row r="134" spans="1:9" x14ac:dyDescent="0.3">
      <c r="A134" t="s">
        <v>318</v>
      </c>
      <c r="B134" t="s">
        <v>319</v>
      </c>
      <c r="C134">
        <v>49</v>
      </c>
      <c r="D134">
        <v>21834</v>
      </c>
      <c r="E134" s="1">
        <v>8</v>
      </c>
      <c r="F134">
        <v>2012</v>
      </c>
      <c r="G134" t="s">
        <v>12</v>
      </c>
      <c r="H134" s="1">
        <f>bestsellers_with_categories[[#This Row],[Reviews]]*bestsellers_with_categories[[#This Row],[Price]]</f>
        <v>174672</v>
      </c>
      <c r="I134" t="str">
        <f>IF(bestsellers_with_categories[[#This Row],[User Rating]]&gt;40,"recommended","not recommended")</f>
        <v>recommended</v>
      </c>
    </row>
    <row r="135" spans="1:9" x14ac:dyDescent="0.3">
      <c r="A135" t="s">
        <v>318</v>
      </c>
      <c r="B135" t="s">
        <v>319</v>
      </c>
      <c r="C135">
        <v>49</v>
      </c>
      <c r="D135">
        <v>21834</v>
      </c>
      <c r="E135" s="1">
        <v>8</v>
      </c>
      <c r="F135">
        <v>2013</v>
      </c>
      <c r="G135" t="s">
        <v>12</v>
      </c>
      <c r="H135" s="1">
        <f>bestsellers_with_categories[[#This Row],[Reviews]]*bestsellers_with_categories[[#This Row],[Price]]</f>
        <v>174672</v>
      </c>
      <c r="I135" t="str">
        <f>IF(bestsellers_with_categories[[#This Row],[User Rating]]&gt;40,"recommended","not recommended")</f>
        <v>recommended</v>
      </c>
    </row>
    <row r="136" spans="1:9" x14ac:dyDescent="0.3">
      <c r="A136" t="s">
        <v>318</v>
      </c>
      <c r="B136" t="s">
        <v>319</v>
      </c>
      <c r="C136">
        <v>49</v>
      </c>
      <c r="D136">
        <v>21834</v>
      </c>
      <c r="E136" s="1">
        <v>8</v>
      </c>
      <c r="F136">
        <v>2014</v>
      </c>
      <c r="G136" t="s">
        <v>12</v>
      </c>
      <c r="H136" s="1">
        <f>bestsellers_with_categories[[#This Row],[Reviews]]*bestsellers_with_categories[[#This Row],[Price]]</f>
        <v>174672</v>
      </c>
      <c r="I136" t="str">
        <f>IF(bestsellers_with_categories[[#This Row],[User Rating]]&gt;40,"recommended","not recommended")</f>
        <v>recommended</v>
      </c>
    </row>
    <row r="137" spans="1:9" x14ac:dyDescent="0.3">
      <c r="A137" t="s">
        <v>318</v>
      </c>
      <c r="B137" t="s">
        <v>319</v>
      </c>
      <c r="C137">
        <v>49</v>
      </c>
      <c r="D137">
        <v>21834</v>
      </c>
      <c r="E137" s="1">
        <v>8</v>
      </c>
      <c r="F137">
        <v>2015</v>
      </c>
      <c r="G137" t="s">
        <v>12</v>
      </c>
      <c r="H137" s="1">
        <f>bestsellers_with_categories[[#This Row],[Reviews]]*bestsellers_with_categories[[#This Row],[Price]]</f>
        <v>174672</v>
      </c>
      <c r="I137" t="str">
        <f>IF(bestsellers_with_categories[[#This Row],[User Rating]]&gt;40,"recommended","not recommended")</f>
        <v>recommended</v>
      </c>
    </row>
    <row r="138" spans="1:9" x14ac:dyDescent="0.3">
      <c r="A138" t="s">
        <v>318</v>
      </c>
      <c r="B138" t="s">
        <v>319</v>
      </c>
      <c r="C138">
        <v>49</v>
      </c>
      <c r="D138">
        <v>21834</v>
      </c>
      <c r="E138" s="1">
        <v>8</v>
      </c>
      <c r="F138">
        <v>2016</v>
      </c>
      <c r="G138" t="s">
        <v>12</v>
      </c>
      <c r="H138" s="1">
        <f>bestsellers_with_categories[[#This Row],[Reviews]]*bestsellers_with_categories[[#This Row],[Price]]</f>
        <v>174672</v>
      </c>
      <c r="I138" t="str">
        <f>IF(bestsellers_with_categories[[#This Row],[User Rating]]&gt;40,"recommended","not recommended")</f>
        <v>recommended</v>
      </c>
    </row>
    <row r="139" spans="1:9" x14ac:dyDescent="0.3">
      <c r="A139" t="s">
        <v>318</v>
      </c>
      <c r="B139" t="s">
        <v>319</v>
      </c>
      <c r="C139">
        <v>49</v>
      </c>
      <c r="D139">
        <v>21834</v>
      </c>
      <c r="E139" s="1">
        <v>8</v>
      </c>
      <c r="F139">
        <v>2017</v>
      </c>
      <c r="G139" t="s">
        <v>12</v>
      </c>
      <c r="H139" s="1">
        <f>bestsellers_with_categories[[#This Row],[Reviews]]*bestsellers_with_categories[[#This Row],[Price]]</f>
        <v>174672</v>
      </c>
      <c r="I139" t="str">
        <f>IF(bestsellers_with_categories[[#This Row],[User Rating]]&gt;40,"recommended","not recommended")</f>
        <v>recommended</v>
      </c>
    </row>
    <row r="140" spans="1:9" x14ac:dyDescent="0.3">
      <c r="A140" t="s">
        <v>318</v>
      </c>
      <c r="B140" t="s">
        <v>319</v>
      </c>
      <c r="C140">
        <v>49</v>
      </c>
      <c r="D140">
        <v>21834</v>
      </c>
      <c r="E140" s="1">
        <v>8</v>
      </c>
      <c r="F140">
        <v>2018</v>
      </c>
      <c r="G140" t="s">
        <v>12</v>
      </c>
      <c r="H140" s="1">
        <f>bestsellers_with_categories[[#This Row],[Reviews]]*bestsellers_with_categories[[#This Row],[Price]]</f>
        <v>174672</v>
      </c>
      <c r="I140" t="str">
        <f>IF(bestsellers_with_categories[[#This Row],[User Rating]]&gt;40,"recommended","not recommended")</f>
        <v>recommended</v>
      </c>
    </row>
    <row r="141" spans="1:9" x14ac:dyDescent="0.3">
      <c r="A141" t="s">
        <v>318</v>
      </c>
      <c r="B141" t="s">
        <v>319</v>
      </c>
      <c r="C141">
        <v>49</v>
      </c>
      <c r="D141">
        <v>21834</v>
      </c>
      <c r="E141" s="1">
        <v>8</v>
      </c>
      <c r="F141">
        <v>2019</v>
      </c>
      <c r="G141" t="s">
        <v>12</v>
      </c>
      <c r="H141" s="1">
        <f>bestsellers_with_categories[[#This Row],[Reviews]]*bestsellers_with_categories[[#This Row],[Price]]</f>
        <v>174672</v>
      </c>
      <c r="I141" t="str">
        <f>IF(bestsellers_with_categories[[#This Row],[User Rating]]&gt;40,"recommended","not recommended")</f>
        <v>recommended</v>
      </c>
    </row>
    <row r="142" spans="1:9" x14ac:dyDescent="0.3">
      <c r="A142" t="s">
        <v>68</v>
      </c>
      <c r="B142" t="s">
        <v>69</v>
      </c>
      <c r="C142">
        <v>48</v>
      </c>
      <c r="D142">
        <v>11113</v>
      </c>
      <c r="E142" s="1">
        <v>15</v>
      </c>
      <c r="F142">
        <v>2015</v>
      </c>
      <c r="G142" t="s">
        <v>9</v>
      </c>
      <c r="H142" s="1">
        <f>bestsellers_with_categories[[#This Row],[Reviews]]*bestsellers_with_categories[[#This Row],[Price]]</f>
        <v>166695</v>
      </c>
      <c r="I142" t="str">
        <f>IF(bestsellers_with_categories[[#This Row],[User Rating]]&gt;40,"recommended","not recommended")</f>
        <v>recommended</v>
      </c>
    </row>
    <row r="143" spans="1:9" x14ac:dyDescent="0.3">
      <c r="A143" t="s">
        <v>478</v>
      </c>
      <c r="B143" t="s">
        <v>245</v>
      </c>
      <c r="C143">
        <v>42</v>
      </c>
      <c r="D143" s="12">
        <v>8747</v>
      </c>
      <c r="E143" s="1">
        <v>19</v>
      </c>
      <c r="F143">
        <v>2009</v>
      </c>
      <c r="G143" s="11" t="s">
        <v>12</v>
      </c>
      <c r="H143" s="1">
        <f>bestsellers_with_categories[[#This Row],[Reviews]]*bestsellers_with_categories[[#This Row],[Price]]</f>
        <v>166193</v>
      </c>
      <c r="I143" t="str">
        <f>IF(bestsellers_with_categories[[#This Row],[User Rating]]&gt;40,"recommended","not recommended")</f>
        <v>recommended</v>
      </c>
    </row>
    <row r="144" spans="1:9" x14ac:dyDescent="0.3">
      <c r="A144" t="s">
        <v>156</v>
      </c>
      <c r="B144" t="s">
        <v>157</v>
      </c>
      <c r="C144">
        <v>44</v>
      </c>
      <c r="D144">
        <v>23631</v>
      </c>
      <c r="E144" s="1">
        <v>7</v>
      </c>
      <c r="F144">
        <v>2012</v>
      </c>
      <c r="G144" t="s">
        <v>12</v>
      </c>
      <c r="H144" s="1">
        <f>bestsellers_with_categories[[#This Row],[Reviews]]*bestsellers_with_categories[[#This Row],[Price]]</f>
        <v>165417</v>
      </c>
      <c r="I144" t="str">
        <f>IF(bestsellers_with_categories[[#This Row],[User Rating]]&gt;40,"recommended","not recommended")</f>
        <v>recommended</v>
      </c>
    </row>
    <row r="145" spans="1:9" x14ac:dyDescent="0.3">
      <c r="A145" t="s">
        <v>599</v>
      </c>
      <c r="B145" t="s">
        <v>600</v>
      </c>
      <c r="C145">
        <v>45</v>
      </c>
      <c r="D145">
        <v>10760</v>
      </c>
      <c r="E145" s="1">
        <v>15</v>
      </c>
      <c r="F145">
        <v>2012</v>
      </c>
      <c r="G145" t="s">
        <v>12</v>
      </c>
      <c r="H145" s="1">
        <f>bestsellers_with_categories[[#This Row],[Reviews]]*bestsellers_with_categories[[#This Row],[Price]]</f>
        <v>161400</v>
      </c>
      <c r="I145" t="str">
        <f>IF(bestsellers_with_categories[[#This Row],[User Rating]]&gt;40,"recommended","not recommended")</f>
        <v>recommended</v>
      </c>
    </row>
    <row r="146" spans="1:9" x14ac:dyDescent="0.3">
      <c r="A146" t="s">
        <v>574</v>
      </c>
      <c r="B146" t="s">
        <v>575</v>
      </c>
      <c r="C146">
        <v>48</v>
      </c>
      <c r="D146" s="12">
        <v>3829</v>
      </c>
      <c r="E146" s="1">
        <v>42</v>
      </c>
      <c r="F146">
        <v>2009</v>
      </c>
      <c r="G146" s="11" t="s">
        <v>12</v>
      </c>
      <c r="H146" s="1">
        <f>bestsellers_with_categories[[#This Row],[Reviews]]*bestsellers_with_categories[[#This Row],[Price]]</f>
        <v>160818</v>
      </c>
      <c r="I146" t="str">
        <f>IF(bestsellers_with_categories[[#This Row],[User Rating]]&gt;40,"recommended","not recommended")</f>
        <v>recommended</v>
      </c>
    </row>
    <row r="147" spans="1:9" x14ac:dyDescent="0.3">
      <c r="A147" t="s">
        <v>51</v>
      </c>
      <c r="B147" t="s">
        <v>52</v>
      </c>
      <c r="C147">
        <v>43</v>
      </c>
      <c r="D147">
        <v>12159</v>
      </c>
      <c r="E147" s="1">
        <v>13</v>
      </c>
      <c r="F147">
        <v>2013</v>
      </c>
      <c r="G147" t="s">
        <v>12</v>
      </c>
      <c r="H147" s="1">
        <f>bestsellers_with_categories[[#This Row],[Reviews]]*bestsellers_with_categories[[#This Row],[Price]]</f>
        <v>158067</v>
      </c>
      <c r="I147" t="str">
        <f>IF(bestsellers_with_categories[[#This Row],[User Rating]]&gt;40,"recommended","not recommended")</f>
        <v>recommended</v>
      </c>
    </row>
    <row r="148" spans="1:9" x14ac:dyDescent="0.3">
      <c r="A148" t="s">
        <v>580</v>
      </c>
      <c r="B148" t="s">
        <v>581</v>
      </c>
      <c r="C148">
        <v>47</v>
      </c>
      <c r="D148">
        <v>9292</v>
      </c>
      <c r="E148" s="1">
        <v>17</v>
      </c>
      <c r="F148">
        <v>2014</v>
      </c>
      <c r="G148" t="s">
        <v>9</v>
      </c>
      <c r="H148" s="1">
        <f>bestsellers_with_categories[[#This Row],[Reviews]]*bestsellers_with_categories[[#This Row],[Price]]</f>
        <v>157964</v>
      </c>
      <c r="I148" t="str">
        <f>IF(bestsellers_with_categories[[#This Row],[User Rating]]&gt;40,"recommended","not recommended")</f>
        <v>recommended</v>
      </c>
    </row>
    <row r="149" spans="1:9" x14ac:dyDescent="0.3">
      <c r="A149" t="s">
        <v>294</v>
      </c>
      <c r="B149" t="s">
        <v>224</v>
      </c>
      <c r="C149">
        <v>48</v>
      </c>
      <c r="D149">
        <v>9867</v>
      </c>
      <c r="E149" s="1">
        <v>16</v>
      </c>
      <c r="F149">
        <v>2018</v>
      </c>
      <c r="G149" t="s">
        <v>9</v>
      </c>
      <c r="H149" s="1">
        <f>bestsellers_with_categories[[#This Row],[Reviews]]*bestsellers_with_categories[[#This Row],[Price]]</f>
        <v>157872</v>
      </c>
      <c r="I149" t="str">
        <f>IF(bestsellers_with_categories[[#This Row],[User Rating]]&gt;40,"recommended","not recommended")</f>
        <v>recommended</v>
      </c>
    </row>
    <row r="150" spans="1:9" x14ac:dyDescent="0.3">
      <c r="A150" t="s">
        <v>219</v>
      </c>
      <c r="B150" t="s">
        <v>220</v>
      </c>
      <c r="C150">
        <v>47</v>
      </c>
      <c r="D150">
        <v>15779</v>
      </c>
      <c r="E150" s="1">
        <v>10</v>
      </c>
      <c r="F150">
        <v>2011</v>
      </c>
      <c r="G150" t="s">
        <v>9</v>
      </c>
      <c r="H150" s="1">
        <f>bestsellers_with_categories[[#This Row],[Reviews]]*bestsellers_with_categories[[#This Row],[Price]]</f>
        <v>157790</v>
      </c>
      <c r="I150" t="str">
        <f>IF(bestsellers_with_categories[[#This Row],[User Rating]]&gt;40,"recommended","not recommended")</f>
        <v>recommended</v>
      </c>
    </row>
    <row r="151" spans="1:9" x14ac:dyDescent="0.3">
      <c r="A151" t="s">
        <v>219</v>
      </c>
      <c r="B151" t="s">
        <v>220</v>
      </c>
      <c r="C151">
        <v>47</v>
      </c>
      <c r="D151">
        <v>15779</v>
      </c>
      <c r="E151" s="1">
        <v>10</v>
      </c>
      <c r="F151">
        <v>2012</v>
      </c>
      <c r="G151" t="s">
        <v>9</v>
      </c>
      <c r="H151" s="1">
        <f>bestsellers_with_categories[[#This Row],[Reviews]]*bestsellers_with_categories[[#This Row],[Price]]</f>
        <v>157790</v>
      </c>
      <c r="I151" t="str">
        <f>IF(bestsellers_with_categories[[#This Row],[User Rating]]&gt;40,"recommended","not recommended")</f>
        <v>recommended</v>
      </c>
    </row>
    <row r="152" spans="1:9" x14ac:dyDescent="0.3">
      <c r="A152" t="s">
        <v>515</v>
      </c>
      <c r="B152" t="s">
        <v>516</v>
      </c>
      <c r="C152">
        <v>46</v>
      </c>
      <c r="D152" s="12">
        <v>19720</v>
      </c>
      <c r="E152" s="1">
        <v>8</v>
      </c>
      <c r="F152">
        <v>2009</v>
      </c>
      <c r="G152" s="11" t="s">
        <v>12</v>
      </c>
      <c r="H152" s="1">
        <f>bestsellers_with_categories[[#This Row],[Reviews]]*bestsellers_with_categories[[#This Row],[Price]]</f>
        <v>157760</v>
      </c>
      <c r="I152" t="str">
        <f>IF(bestsellers_with_categories[[#This Row],[User Rating]]&gt;40,"recommended","not recommended")</f>
        <v>recommended</v>
      </c>
    </row>
    <row r="153" spans="1:9" x14ac:dyDescent="0.3">
      <c r="A153" t="s">
        <v>515</v>
      </c>
      <c r="B153" t="s">
        <v>516</v>
      </c>
      <c r="C153">
        <v>46</v>
      </c>
      <c r="D153">
        <v>19720</v>
      </c>
      <c r="E153" s="1">
        <v>8</v>
      </c>
      <c r="F153">
        <v>2017</v>
      </c>
      <c r="G153" t="s">
        <v>12</v>
      </c>
      <c r="H153" s="1">
        <f>bestsellers_with_categories[[#This Row],[Reviews]]*bestsellers_with_categories[[#This Row],[Price]]</f>
        <v>157760</v>
      </c>
      <c r="I153" t="str">
        <f>IF(bestsellers_with_categories[[#This Row],[User Rating]]&gt;40,"recommended","not recommended")</f>
        <v>recommended</v>
      </c>
    </row>
    <row r="154" spans="1:9" x14ac:dyDescent="0.3">
      <c r="A154" t="s">
        <v>252</v>
      </c>
      <c r="B154" t="s">
        <v>253</v>
      </c>
      <c r="C154">
        <v>49</v>
      </c>
      <c r="D154">
        <v>19576</v>
      </c>
      <c r="E154" s="1">
        <v>8</v>
      </c>
      <c r="F154">
        <v>2011</v>
      </c>
      <c r="G154" t="s">
        <v>9</v>
      </c>
      <c r="H154" s="1">
        <f>bestsellers_with_categories[[#This Row],[Reviews]]*bestsellers_with_categories[[#This Row],[Price]]</f>
        <v>156608</v>
      </c>
      <c r="I154" t="str">
        <f>IF(bestsellers_with_categories[[#This Row],[User Rating]]&gt;40,"recommended","not recommended")</f>
        <v>recommended</v>
      </c>
    </row>
    <row r="155" spans="1:9" x14ac:dyDescent="0.3">
      <c r="A155" t="s">
        <v>252</v>
      </c>
      <c r="B155" t="s">
        <v>253</v>
      </c>
      <c r="C155">
        <v>49</v>
      </c>
      <c r="D155">
        <v>19576</v>
      </c>
      <c r="E155" s="1">
        <v>8</v>
      </c>
      <c r="F155">
        <v>2012</v>
      </c>
      <c r="G155" t="s">
        <v>9</v>
      </c>
      <c r="H155" s="1">
        <f>bestsellers_with_categories[[#This Row],[Reviews]]*bestsellers_with_categories[[#This Row],[Price]]</f>
        <v>156608</v>
      </c>
      <c r="I155" t="str">
        <f>IF(bestsellers_with_categories[[#This Row],[User Rating]]&gt;40,"recommended","not recommended")</f>
        <v>recommended</v>
      </c>
    </row>
    <row r="156" spans="1:9" x14ac:dyDescent="0.3">
      <c r="A156" t="s">
        <v>252</v>
      </c>
      <c r="B156" t="s">
        <v>253</v>
      </c>
      <c r="C156">
        <v>49</v>
      </c>
      <c r="D156">
        <v>19576</v>
      </c>
      <c r="E156" s="1">
        <v>8</v>
      </c>
      <c r="F156">
        <v>2013</v>
      </c>
      <c r="G156" t="s">
        <v>9</v>
      </c>
      <c r="H156" s="1">
        <f>bestsellers_with_categories[[#This Row],[Reviews]]*bestsellers_with_categories[[#This Row],[Price]]</f>
        <v>156608</v>
      </c>
      <c r="I156" t="str">
        <f>IF(bestsellers_with_categories[[#This Row],[User Rating]]&gt;40,"recommended","not recommended")</f>
        <v>recommended</v>
      </c>
    </row>
    <row r="157" spans="1:9" x14ac:dyDescent="0.3">
      <c r="A157" t="s">
        <v>252</v>
      </c>
      <c r="B157" t="s">
        <v>253</v>
      </c>
      <c r="C157">
        <v>49</v>
      </c>
      <c r="D157">
        <v>19576</v>
      </c>
      <c r="E157" s="1">
        <v>8</v>
      </c>
      <c r="F157">
        <v>2014</v>
      </c>
      <c r="G157" t="s">
        <v>9</v>
      </c>
      <c r="H157" s="1">
        <f>bestsellers_with_categories[[#This Row],[Reviews]]*bestsellers_with_categories[[#This Row],[Price]]</f>
        <v>156608</v>
      </c>
      <c r="I157" t="str">
        <f>IF(bestsellers_with_categories[[#This Row],[User Rating]]&gt;40,"recommended","not recommended")</f>
        <v>recommended</v>
      </c>
    </row>
    <row r="158" spans="1:9" x14ac:dyDescent="0.3">
      <c r="A158" t="s">
        <v>252</v>
      </c>
      <c r="B158" t="s">
        <v>253</v>
      </c>
      <c r="C158">
        <v>49</v>
      </c>
      <c r="D158">
        <v>19576</v>
      </c>
      <c r="E158" s="1">
        <v>8</v>
      </c>
      <c r="F158">
        <v>2015</v>
      </c>
      <c r="G158" t="s">
        <v>9</v>
      </c>
      <c r="H158" s="1">
        <f>bestsellers_with_categories[[#This Row],[Reviews]]*bestsellers_with_categories[[#This Row],[Price]]</f>
        <v>156608</v>
      </c>
      <c r="I158" t="str">
        <f>IF(bestsellers_with_categories[[#This Row],[User Rating]]&gt;40,"recommended","not recommended")</f>
        <v>recommended</v>
      </c>
    </row>
    <row r="159" spans="1:9" x14ac:dyDescent="0.3">
      <c r="A159" t="s">
        <v>252</v>
      </c>
      <c r="B159" t="s">
        <v>253</v>
      </c>
      <c r="C159">
        <v>49</v>
      </c>
      <c r="D159">
        <v>19576</v>
      </c>
      <c r="E159" s="1">
        <v>8</v>
      </c>
      <c r="F159">
        <v>2016</v>
      </c>
      <c r="G159" t="s">
        <v>9</v>
      </c>
      <c r="H159" s="1">
        <f>bestsellers_with_categories[[#This Row],[Reviews]]*bestsellers_with_categories[[#This Row],[Price]]</f>
        <v>156608</v>
      </c>
      <c r="I159" t="str">
        <f>IF(bestsellers_with_categories[[#This Row],[User Rating]]&gt;40,"recommended","not recommended")</f>
        <v>recommended</v>
      </c>
    </row>
    <row r="160" spans="1:9" x14ac:dyDescent="0.3">
      <c r="A160" t="s">
        <v>367</v>
      </c>
      <c r="B160" t="s">
        <v>275</v>
      </c>
      <c r="C160">
        <v>46</v>
      </c>
      <c r="D160">
        <v>7827</v>
      </c>
      <c r="E160" s="1">
        <v>20</v>
      </c>
      <c r="F160">
        <v>2011</v>
      </c>
      <c r="G160" t="s">
        <v>9</v>
      </c>
      <c r="H160" s="1">
        <f>bestsellers_with_categories[[#This Row],[Reviews]]*bestsellers_with_categories[[#This Row],[Price]]</f>
        <v>156540</v>
      </c>
      <c r="I160" t="str">
        <f>IF(bestsellers_with_categories[[#This Row],[User Rating]]&gt;40,"recommended","not recommended")</f>
        <v>recommended</v>
      </c>
    </row>
    <row r="161" spans="1:9" x14ac:dyDescent="0.3">
      <c r="A161" t="s">
        <v>367</v>
      </c>
      <c r="B161" t="s">
        <v>275</v>
      </c>
      <c r="C161">
        <v>46</v>
      </c>
      <c r="D161">
        <v>7827</v>
      </c>
      <c r="E161" s="1">
        <v>20</v>
      </c>
      <c r="F161">
        <v>2012</v>
      </c>
      <c r="G161" t="s">
        <v>9</v>
      </c>
      <c r="H161" s="1">
        <f>bestsellers_with_categories[[#This Row],[Reviews]]*bestsellers_with_categories[[#This Row],[Price]]</f>
        <v>156540</v>
      </c>
      <c r="I161" t="str">
        <f>IF(bestsellers_with_categories[[#This Row],[User Rating]]&gt;40,"recommended","not recommended")</f>
        <v>recommended</v>
      </c>
    </row>
    <row r="162" spans="1:9" x14ac:dyDescent="0.3">
      <c r="A162" t="s">
        <v>352</v>
      </c>
      <c r="B162" t="s">
        <v>353</v>
      </c>
      <c r="C162">
        <v>48</v>
      </c>
      <c r="D162">
        <v>7802</v>
      </c>
      <c r="E162" s="1">
        <v>20</v>
      </c>
      <c r="F162">
        <v>2018</v>
      </c>
      <c r="G162" t="s">
        <v>9</v>
      </c>
      <c r="H162" s="1">
        <f>bestsellers_with_categories[[#This Row],[Reviews]]*bestsellers_with_categories[[#This Row],[Price]]</f>
        <v>156040</v>
      </c>
      <c r="I162" t="str">
        <f>IF(bestsellers_with_categories[[#This Row],[User Rating]]&gt;40,"recommended","not recommended")</f>
        <v>recommended</v>
      </c>
    </row>
    <row r="163" spans="1:9" x14ac:dyDescent="0.3">
      <c r="A163" t="s">
        <v>352</v>
      </c>
      <c r="B163" t="s">
        <v>353</v>
      </c>
      <c r="C163">
        <v>48</v>
      </c>
      <c r="D163">
        <v>7802</v>
      </c>
      <c r="E163" s="1">
        <v>20</v>
      </c>
      <c r="F163">
        <v>2019</v>
      </c>
      <c r="G163" t="s">
        <v>9</v>
      </c>
      <c r="H163" s="1">
        <f>bestsellers_with_categories[[#This Row],[Reviews]]*bestsellers_with_categories[[#This Row],[Price]]</f>
        <v>156040</v>
      </c>
      <c r="I163" t="str">
        <f>IF(bestsellers_with_categories[[#This Row],[User Rating]]&gt;40,"recommended","not recommended")</f>
        <v>recommended</v>
      </c>
    </row>
    <row r="164" spans="1:9" x14ac:dyDescent="0.3">
      <c r="A164" t="s">
        <v>269</v>
      </c>
      <c r="B164" t="s">
        <v>270</v>
      </c>
      <c r="C164">
        <v>49</v>
      </c>
      <c r="D164">
        <v>11881</v>
      </c>
      <c r="E164" s="1">
        <v>13</v>
      </c>
      <c r="F164">
        <v>2018</v>
      </c>
      <c r="G164" t="s">
        <v>12</v>
      </c>
      <c r="H164" s="1">
        <f>bestsellers_with_categories[[#This Row],[Reviews]]*bestsellers_with_categories[[#This Row],[Price]]</f>
        <v>154453</v>
      </c>
      <c r="I164" t="str">
        <f>IF(bestsellers_with_categories[[#This Row],[User Rating]]&gt;40,"recommended","not recommended")</f>
        <v>recommended</v>
      </c>
    </row>
    <row r="165" spans="1:9" x14ac:dyDescent="0.3">
      <c r="A165" t="s">
        <v>402</v>
      </c>
      <c r="B165" t="s">
        <v>403</v>
      </c>
      <c r="C165">
        <v>48</v>
      </c>
      <c r="D165">
        <v>12361</v>
      </c>
      <c r="E165" s="1">
        <v>12</v>
      </c>
      <c r="F165">
        <v>2019</v>
      </c>
      <c r="G165" t="s">
        <v>9</v>
      </c>
      <c r="H165" s="1">
        <f>bestsellers_with_categories[[#This Row],[Reviews]]*bestsellers_with_categories[[#This Row],[Price]]</f>
        <v>148332</v>
      </c>
      <c r="I165" t="str">
        <f>IF(bestsellers_with_categories[[#This Row],[User Rating]]&gt;40,"recommended","not recommended")</f>
        <v>recommended</v>
      </c>
    </row>
    <row r="166" spans="1:9" x14ac:dyDescent="0.3">
      <c r="A166" t="s">
        <v>453</v>
      </c>
      <c r="B166" t="s">
        <v>454</v>
      </c>
      <c r="C166">
        <v>46</v>
      </c>
      <c r="D166">
        <v>11098</v>
      </c>
      <c r="E166" s="1">
        <v>13</v>
      </c>
      <c r="F166">
        <v>2012</v>
      </c>
      <c r="G166" t="s">
        <v>12</v>
      </c>
      <c r="H166" s="1">
        <f>bestsellers_with_categories[[#This Row],[Reviews]]*bestsellers_with_categories[[#This Row],[Price]]</f>
        <v>144274</v>
      </c>
      <c r="I166" t="str">
        <f>IF(bestsellers_with_categories[[#This Row],[User Rating]]&gt;40,"recommended","not recommended")</f>
        <v>recommended</v>
      </c>
    </row>
    <row r="167" spans="1:9" x14ac:dyDescent="0.3">
      <c r="A167" t="s">
        <v>118</v>
      </c>
      <c r="B167" t="s">
        <v>80</v>
      </c>
      <c r="C167">
        <v>48</v>
      </c>
      <c r="D167">
        <v>6540</v>
      </c>
      <c r="E167" s="1">
        <v>22</v>
      </c>
      <c r="F167">
        <v>2014</v>
      </c>
      <c r="G167" t="s">
        <v>12</v>
      </c>
      <c r="H167" s="1">
        <f>bestsellers_with_categories[[#This Row],[Reviews]]*bestsellers_with_categories[[#This Row],[Price]]</f>
        <v>143880</v>
      </c>
      <c r="I167" t="str">
        <f>IF(bestsellers_with_categories[[#This Row],[User Rating]]&gt;40,"recommended","not recommended")</f>
        <v>recommended</v>
      </c>
    </row>
    <row r="168" spans="1:9" x14ac:dyDescent="0.3">
      <c r="A168" t="s">
        <v>49</v>
      </c>
      <c r="B168" t="s">
        <v>50</v>
      </c>
      <c r="C168">
        <v>46</v>
      </c>
      <c r="D168">
        <v>15921</v>
      </c>
      <c r="E168" s="1">
        <v>9</v>
      </c>
      <c r="F168">
        <v>2015</v>
      </c>
      <c r="G168" t="s">
        <v>9</v>
      </c>
      <c r="H168" s="1">
        <f>bestsellers_with_categories[[#This Row],[Reviews]]*bestsellers_with_categories[[#This Row],[Price]]</f>
        <v>143289</v>
      </c>
      <c r="I168" t="str">
        <f>IF(bestsellers_with_categories[[#This Row],[User Rating]]&gt;40,"recommended","not recommended")</f>
        <v>recommended</v>
      </c>
    </row>
    <row r="169" spans="1:9" x14ac:dyDescent="0.3">
      <c r="A169" t="s">
        <v>256</v>
      </c>
      <c r="B169" t="s">
        <v>257</v>
      </c>
      <c r="C169">
        <v>46</v>
      </c>
      <c r="D169">
        <v>8393</v>
      </c>
      <c r="E169" s="1">
        <v>17</v>
      </c>
      <c r="F169">
        <v>2017</v>
      </c>
      <c r="G169" t="s">
        <v>9</v>
      </c>
      <c r="H169" s="1">
        <f>bestsellers_with_categories[[#This Row],[Reviews]]*bestsellers_with_categories[[#This Row],[Price]]</f>
        <v>142681</v>
      </c>
      <c r="I169" t="str">
        <f>IF(bestsellers_with_categories[[#This Row],[User Rating]]&gt;40,"recommended","not recommended")</f>
        <v>recommended</v>
      </c>
    </row>
    <row r="170" spans="1:9" x14ac:dyDescent="0.3">
      <c r="A170" t="s">
        <v>300</v>
      </c>
      <c r="B170" t="s">
        <v>301</v>
      </c>
      <c r="C170">
        <v>47</v>
      </c>
      <c r="D170">
        <v>17739</v>
      </c>
      <c r="E170" s="1">
        <v>8</v>
      </c>
      <c r="F170">
        <v>2016</v>
      </c>
      <c r="G170" t="s">
        <v>9</v>
      </c>
      <c r="H170" s="1">
        <f>bestsellers_with_categories[[#This Row],[Reviews]]*bestsellers_with_categories[[#This Row],[Price]]</f>
        <v>141912</v>
      </c>
      <c r="I170" t="str">
        <f>IF(bestsellers_with_categories[[#This Row],[User Rating]]&gt;40,"recommended","not recommended")</f>
        <v>recommended</v>
      </c>
    </row>
    <row r="171" spans="1:9" x14ac:dyDescent="0.3">
      <c r="A171" t="s">
        <v>300</v>
      </c>
      <c r="B171" t="s">
        <v>301</v>
      </c>
      <c r="C171">
        <v>47</v>
      </c>
      <c r="D171">
        <v>17739</v>
      </c>
      <c r="E171" s="1">
        <v>8</v>
      </c>
      <c r="F171">
        <v>2017</v>
      </c>
      <c r="G171" t="s">
        <v>9</v>
      </c>
      <c r="H171" s="1">
        <f>bestsellers_with_categories[[#This Row],[Reviews]]*bestsellers_with_categories[[#This Row],[Price]]</f>
        <v>141912</v>
      </c>
      <c r="I171" t="str">
        <f>IF(bestsellers_with_categories[[#This Row],[User Rating]]&gt;40,"recommended","not recommended")</f>
        <v>recommended</v>
      </c>
    </row>
    <row r="172" spans="1:9" x14ac:dyDescent="0.3">
      <c r="A172" t="s">
        <v>300</v>
      </c>
      <c r="B172" t="s">
        <v>301</v>
      </c>
      <c r="C172">
        <v>47</v>
      </c>
      <c r="D172">
        <v>17739</v>
      </c>
      <c r="E172" s="1">
        <v>8</v>
      </c>
      <c r="F172">
        <v>2018</v>
      </c>
      <c r="G172" t="s">
        <v>9</v>
      </c>
      <c r="H172" s="1">
        <f>bestsellers_with_categories[[#This Row],[Reviews]]*bestsellers_with_categories[[#This Row],[Price]]</f>
        <v>141912</v>
      </c>
      <c r="I172" t="str">
        <f>IF(bestsellers_with_categories[[#This Row],[User Rating]]&gt;40,"recommended","not recommended")</f>
        <v>recommended</v>
      </c>
    </row>
    <row r="173" spans="1:9" x14ac:dyDescent="0.3">
      <c r="A173" t="s">
        <v>432</v>
      </c>
      <c r="B173" t="s">
        <v>433</v>
      </c>
      <c r="C173">
        <v>47</v>
      </c>
      <c r="D173">
        <v>23308</v>
      </c>
      <c r="E173" s="1">
        <v>6</v>
      </c>
      <c r="F173">
        <v>2013</v>
      </c>
      <c r="G173" t="s">
        <v>9</v>
      </c>
      <c r="H173" s="1">
        <f>bestsellers_with_categories[[#This Row],[Reviews]]*bestsellers_with_categories[[#This Row],[Price]]</f>
        <v>139848</v>
      </c>
      <c r="I173" t="str">
        <f>IF(bestsellers_with_categories[[#This Row],[User Rating]]&gt;40,"recommended","not recommended")</f>
        <v>recommended</v>
      </c>
    </row>
    <row r="174" spans="1:9" x14ac:dyDescent="0.3">
      <c r="A174" t="s">
        <v>432</v>
      </c>
      <c r="B174" t="s">
        <v>433</v>
      </c>
      <c r="C174">
        <v>47</v>
      </c>
      <c r="D174">
        <v>23308</v>
      </c>
      <c r="E174" s="1">
        <v>6</v>
      </c>
      <c r="F174">
        <v>2015</v>
      </c>
      <c r="G174" t="s">
        <v>9</v>
      </c>
      <c r="H174" s="1">
        <f>bestsellers_with_categories[[#This Row],[Reviews]]*bestsellers_with_categories[[#This Row],[Price]]</f>
        <v>139848</v>
      </c>
      <c r="I174" t="str">
        <f>IF(bestsellers_with_categories[[#This Row],[User Rating]]&gt;40,"recommended","not recommended")</f>
        <v>recommended</v>
      </c>
    </row>
    <row r="175" spans="1:9" x14ac:dyDescent="0.3">
      <c r="A175" t="s">
        <v>432</v>
      </c>
      <c r="B175" t="s">
        <v>433</v>
      </c>
      <c r="C175">
        <v>47</v>
      </c>
      <c r="D175">
        <v>23308</v>
      </c>
      <c r="E175" s="1">
        <v>6</v>
      </c>
      <c r="F175">
        <v>2016</v>
      </c>
      <c r="G175" t="s">
        <v>9</v>
      </c>
      <c r="H175" s="1">
        <f>bestsellers_with_categories[[#This Row],[Reviews]]*bestsellers_with_categories[[#This Row],[Price]]</f>
        <v>139848</v>
      </c>
      <c r="I175" t="str">
        <f>IF(bestsellers_with_categories[[#This Row],[User Rating]]&gt;40,"recommended","not recommended")</f>
        <v>recommended</v>
      </c>
    </row>
    <row r="176" spans="1:9" x14ac:dyDescent="0.3">
      <c r="A176" t="s">
        <v>432</v>
      </c>
      <c r="B176" t="s">
        <v>433</v>
      </c>
      <c r="C176">
        <v>47</v>
      </c>
      <c r="D176">
        <v>23308</v>
      </c>
      <c r="E176" s="1">
        <v>6</v>
      </c>
      <c r="F176">
        <v>2017</v>
      </c>
      <c r="G176" t="s">
        <v>9</v>
      </c>
      <c r="H176" s="1">
        <f>bestsellers_with_categories[[#This Row],[Reviews]]*bestsellers_with_categories[[#This Row],[Price]]</f>
        <v>139848</v>
      </c>
      <c r="I176" t="str">
        <f>IF(bestsellers_with_categories[[#This Row],[User Rating]]&gt;40,"recommended","not recommended")</f>
        <v>recommended</v>
      </c>
    </row>
    <row r="177" spans="1:9" x14ac:dyDescent="0.3">
      <c r="A177" t="s">
        <v>432</v>
      </c>
      <c r="B177" t="s">
        <v>433</v>
      </c>
      <c r="C177">
        <v>47</v>
      </c>
      <c r="D177">
        <v>23308</v>
      </c>
      <c r="E177" s="1">
        <v>6</v>
      </c>
      <c r="F177">
        <v>2018</v>
      </c>
      <c r="G177" t="s">
        <v>9</v>
      </c>
      <c r="H177" s="1">
        <f>bestsellers_with_categories[[#This Row],[Reviews]]*bestsellers_with_categories[[#This Row],[Price]]</f>
        <v>139848</v>
      </c>
      <c r="I177" t="str">
        <f>IF(bestsellers_with_categories[[#This Row],[User Rating]]&gt;40,"recommended","not recommended")</f>
        <v>recommended</v>
      </c>
    </row>
    <row r="178" spans="1:9" x14ac:dyDescent="0.3">
      <c r="A178" t="s">
        <v>432</v>
      </c>
      <c r="B178" t="s">
        <v>433</v>
      </c>
      <c r="C178">
        <v>47</v>
      </c>
      <c r="D178">
        <v>23308</v>
      </c>
      <c r="E178" s="1">
        <v>6</v>
      </c>
      <c r="F178">
        <v>2019</v>
      </c>
      <c r="G178" t="s">
        <v>9</v>
      </c>
      <c r="H178" s="1">
        <f>bestsellers_with_categories[[#This Row],[Reviews]]*bestsellers_with_categories[[#This Row],[Price]]</f>
        <v>139848</v>
      </c>
      <c r="I178" t="str">
        <f>IF(bestsellers_with_categories[[#This Row],[User Rating]]&gt;40,"recommended","not recommended")</f>
        <v>recommended</v>
      </c>
    </row>
    <row r="179" spans="1:9" x14ac:dyDescent="0.3">
      <c r="A179" t="s">
        <v>210</v>
      </c>
      <c r="B179" t="s">
        <v>211</v>
      </c>
      <c r="C179">
        <v>49</v>
      </c>
      <c r="D179">
        <v>7758</v>
      </c>
      <c r="E179" s="1">
        <v>18</v>
      </c>
      <c r="F179">
        <v>2019</v>
      </c>
      <c r="G179" t="s">
        <v>12</v>
      </c>
      <c r="H179" s="1">
        <f>bestsellers_with_categories[[#This Row],[Reviews]]*bestsellers_with_categories[[#This Row],[Price]]</f>
        <v>139644</v>
      </c>
      <c r="I179" t="str">
        <f>IF(bestsellers_with_categories[[#This Row],[User Rating]]&gt;40,"recommended","not recommended")</f>
        <v>recommended</v>
      </c>
    </row>
    <row r="180" spans="1:9" x14ac:dyDescent="0.3">
      <c r="A180" t="s">
        <v>19</v>
      </c>
      <c r="B180" t="s">
        <v>20</v>
      </c>
      <c r="C180">
        <v>44</v>
      </c>
      <c r="D180">
        <v>12643</v>
      </c>
      <c r="E180" s="1">
        <v>11</v>
      </c>
      <c r="F180">
        <v>2011</v>
      </c>
      <c r="G180" t="s">
        <v>12</v>
      </c>
      <c r="H180" s="1">
        <f>bestsellers_with_categories[[#This Row],[Reviews]]*bestsellers_with_categories[[#This Row],[Price]]</f>
        <v>139073</v>
      </c>
      <c r="I180" t="str">
        <f>IF(bestsellers_with_categories[[#This Row],[User Rating]]&gt;40,"recommended","not recommended")</f>
        <v>recommended</v>
      </c>
    </row>
    <row r="181" spans="1:9" x14ac:dyDescent="0.3">
      <c r="A181" t="s">
        <v>406</v>
      </c>
      <c r="B181" t="s">
        <v>407</v>
      </c>
      <c r="C181">
        <v>46</v>
      </c>
      <c r="D181">
        <v>23148</v>
      </c>
      <c r="E181" s="1">
        <v>6</v>
      </c>
      <c r="F181">
        <v>2013</v>
      </c>
      <c r="G181" t="s">
        <v>12</v>
      </c>
      <c r="H181" s="1">
        <f>bestsellers_with_categories[[#This Row],[Reviews]]*bestsellers_with_categories[[#This Row],[Price]]</f>
        <v>138888</v>
      </c>
      <c r="I181" t="str">
        <f>IF(bestsellers_with_categories[[#This Row],[User Rating]]&gt;40,"recommended","not recommended")</f>
        <v>recommended</v>
      </c>
    </row>
    <row r="182" spans="1:9" x14ac:dyDescent="0.3">
      <c r="A182" t="s">
        <v>406</v>
      </c>
      <c r="B182" t="s">
        <v>407</v>
      </c>
      <c r="C182">
        <v>46</v>
      </c>
      <c r="D182">
        <v>23148</v>
      </c>
      <c r="E182" s="1">
        <v>6</v>
      </c>
      <c r="F182">
        <v>2014</v>
      </c>
      <c r="G182" t="s">
        <v>12</v>
      </c>
      <c r="H182" s="1">
        <f>bestsellers_with_categories[[#This Row],[Reviews]]*bestsellers_with_categories[[#This Row],[Price]]</f>
        <v>138888</v>
      </c>
      <c r="I182" t="str">
        <f>IF(bestsellers_with_categories[[#This Row],[User Rating]]&gt;40,"recommended","not recommended")</f>
        <v>recommended</v>
      </c>
    </row>
    <row r="183" spans="1:9" x14ac:dyDescent="0.3">
      <c r="A183" t="s">
        <v>7</v>
      </c>
      <c r="B183" t="s">
        <v>8</v>
      </c>
      <c r="C183">
        <v>47</v>
      </c>
      <c r="D183">
        <v>17350</v>
      </c>
      <c r="E183" s="1">
        <v>8</v>
      </c>
      <c r="F183">
        <v>2016</v>
      </c>
      <c r="G183" t="s">
        <v>9</v>
      </c>
      <c r="H183" s="1">
        <f>bestsellers_with_categories[[#This Row],[Reviews]]*bestsellers_with_categories[[#This Row],[Price]]</f>
        <v>138800</v>
      </c>
      <c r="I183" t="str">
        <f>IF(bestsellers_with_categories[[#This Row],[User Rating]]&gt;40,"recommended","not recommended")</f>
        <v>recommended</v>
      </c>
    </row>
    <row r="184" spans="1:9" x14ac:dyDescent="0.3">
      <c r="A184" t="s">
        <v>356</v>
      </c>
      <c r="B184" t="s">
        <v>357</v>
      </c>
      <c r="C184">
        <v>48</v>
      </c>
      <c r="D184">
        <v>23047</v>
      </c>
      <c r="E184" s="1">
        <v>6</v>
      </c>
      <c r="F184">
        <v>2018</v>
      </c>
      <c r="G184" t="s">
        <v>9</v>
      </c>
      <c r="H184" s="1">
        <f>bestsellers_with_categories[[#This Row],[Reviews]]*bestsellers_with_categories[[#This Row],[Price]]</f>
        <v>138282</v>
      </c>
      <c r="I184" t="str">
        <f>IF(bestsellers_with_categories[[#This Row],[User Rating]]&gt;40,"recommended","not recommended")</f>
        <v>recommended</v>
      </c>
    </row>
    <row r="185" spans="1:9" x14ac:dyDescent="0.3">
      <c r="A185" t="s">
        <v>356</v>
      </c>
      <c r="B185" t="s">
        <v>357</v>
      </c>
      <c r="C185">
        <v>48</v>
      </c>
      <c r="D185">
        <v>23047</v>
      </c>
      <c r="E185" s="1">
        <v>6</v>
      </c>
      <c r="F185">
        <v>2019</v>
      </c>
      <c r="G185" t="s">
        <v>9</v>
      </c>
      <c r="H185" s="1">
        <f>bestsellers_with_categories[[#This Row],[Reviews]]*bestsellers_with_categories[[#This Row],[Price]]</f>
        <v>138282</v>
      </c>
      <c r="I185" t="str">
        <f>IF(bestsellers_with_categories[[#This Row],[User Rating]]&gt;40,"recommended","not recommended")</f>
        <v>recommended</v>
      </c>
    </row>
    <row r="186" spans="1:9" x14ac:dyDescent="0.3">
      <c r="A186" t="s">
        <v>258</v>
      </c>
      <c r="B186" t="s">
        <v>259</v>
      </c>
      <c r="C186">
        <v>45</v>
      </c>
      <c r="D186">
        <v>11391</v>
      </c>
      <c r="E186" s="1">
        <v>12</v>
      </c>
      <c r="F186">
        <v>2013</v>
      </c>
      <c r="G186" t="s">
        <v>9</v>
      </c>
      <c r="H186" s="1">
        <f>bestsellers_with_categories[[#This Row],[Reviews]]*bestsellers_with_categories[[#This Row],[Price]]</f>
        <v>136692</v>
      </c>
      <c r="I186" t="str">
        <f>IF(bestsellers_with_categories[[#This Row],[User Rating]]&gt;40,"recommended","not recommended")</f>
        <v>recommended</v>
      </c>
    </row>
    <row r="187" spans="1:9" x14ac:dyDescent="0.3">
      <c r="A187" t="s">
        <v>337</v>
      </c>
      <c r="B187" t="s">
        <v>338</v>
      </c>
      <c r="C187">
        <v>43</v>
      </c>
      <c r="D187">
        <v>13616</v>
      </c>
      <c r="E187" s="1">
        <v>10</v>
      </c>
      <c r="F187">
        <v>2012</v>
      </c>
      <c r="G187" t="s">
        <v>9</v>
      </c>
      <c r="H187" s="1">
        <f>bestsellers_with_categories[[#This Row],[Reviews]]*bestsellers_with_categories[[#This Row],[Price]]</f>
        <v>136160</v>
      </c>
      <c r="I187" t="str">
        <f>IF(bestsellers_with_categories[[#This Row],[User Rating]]&gt;40,"recommended","not recommended")</f>
        <v>recommended</v>
      </c>
    </row>
    <row r="188" spans="1:9" x14ac:dyDescent="0.3">
      <c r="A188" t="s">
        <v>337</v>
      </c>
      <c r="B188" t="s">
        <v>338</v>
      </c>
      <c r="C188">
        <v>43</v>
      </c>
      <c r="D188">
        <v>13616</v>
      </c>
      <c r="E188" s="1">
        <v>10</v>
      </c>
      <c r="F188">
        <v>2013</v>
      </c>
      <c r="G188" t="s">
        <v>9</v>
      </c>
      <c r="H188" s="1">
        <f>bestsellers_with_categories[[#This Row],[Reviews]]*bestsellers_with_categories[[#This Row],[Price]]</f>
        <v>136160</v>
      </c>
      <c r="I188" t="str">
        <f>IF(bestsellers_with_categories[[#This Row],[User Rating]]&gt;40,"recommended","not recommended")</f>
        <v>recommended</v>
      </c>
    </row>
    <row r="189" spans="1:9" x14ac:dyDescent="0.3">
      <c r="A189" t="s">
        <v>569</v>
      </c>
      <c r="B189" t="s">
        <v>11</v>
      </c>
      <c r="C189">
        <v>43</v>
      </c>
      <c r="D189" s="12">
        <v>6740</v>
      </c>
      <c r="E189" s="1">
        <v>20</v>
      </c>
      <c r="F189">
        <v>2009</v>
      </c>
      <c r="G189" s="11" t="s">
        <v>12</v>
      </c>
      <c r="H189" s="1">
        <f>bestsellers_with_categories[[#This Row],[Reviews]]*bestsellers_with_categories[[#This Row],[Price]]</f>
        <v>134800</v>
      </c>
      <c r="I189" t="str">
        <f>IF(bestsellers_with_categories[[#This Row],[User Rating]]&gt;40,"recommended","not recommended")</f>
        <v>recommended</v>
      </c>
    </row>
    <row r="190" spans="1:9" x14ac:dyDescent="0.3">
      <c r="A190" t="s">
        <v>30</v>
      </c>
      <c r="B190" t="s">
        <v>31</v>
      </c>
      <c r="C190">
        <v>46</v>
      </c>
      <c r="D190">
        <v>4149</v>
      </c>
      <c r="E190" s="1">
        <v>32</v>
      </c>
      <c r="F190">
        <v>2011</v>
      </c>
      <c r="G190" t="s">
        <v>9</v>
      </c>
      <c r="H190" s="1">
        <f>bestsellers_with_categories[[#This Row],[Reviews]]*bestsellers_with_categories[[#This Row],[Price]]</f>
        <v>132768</v>
      </c>
      <c r="I190" t="str">
        <f>IF(bestsellers_with_categories[[#This Row],[User Rating]]&gt;40,"recommended","not recommended")</f>
        <v>recommended</v>
      </c>
    </row>
    <row r="191" spans="1:9" x14ac:dyDescent="0.3">
      <c r="A191" t="s">
        <v>70</v>
      </c>
      <c r="B191" t="s">
        <v>71</v>
      </c>
      <c r="C191">
        <v>47</v>
      </c>
      <c r="D191">
        <v>10070</v>
      </c>
      <c r="E191" s="1">
        <v>13</v>
      </c>
      <c r="F191">
        <v>2015</v>
      </c>
      <c r="G191" t="s">
        <v>9</v>
      </c>
      <c r="H191" s="1">
        <f>bestsellers_with_categories[[#This Row],[Reviews]]*bestsellers_with_categories[[#This Row],[Price]]</f>
        <v>130910</v>
      </c>
      <c r="I191" t="str">
        <f>IF(bestsellers_with_categories[[#This Row],[User Rating]]&gt;40,"recommended","not recommended")</f>
        <v>recommended</v>
      </c>
    </row>
    <row r="192" spans="1:9" x14ac:dyDescent="0.3">
      <c r="A192" t="s">
        <v>70</v>
      </c>
      <c r="B192" t="s">
        <v>71</v>
      </c>
      <c r="C192">
        <v>47</v>
      </c>
      <c r="D192">
        <v>10070</v>
      </c>
      <c r="E192" s="1">
        <v>13</v>
      </c>
      <c r="F192">
        <v>2016</v>
      </c>
      <c r="G192" t="s">
        <v>9</v>
      </c>
      <c r="H192" s="1">
        <f>bestsellers_with_categories[[#This Row],[Reviews]]*bestsellers_with_categories[[#This Row],[Price]]</f>
        <v>130910</v>
      </c>
      <c r="I192" t="str">
        <f>IF(bestsellers_with_categories[[#This Row],[User Rating]]&gt;40,"recommended","not recommended")</f>
        <v>recommended</v>
      </c>
    </row>
    <row r="193" spans="1:9" x14ac:dyDescent="0.3">
      <c r="A193" t="s">
        <v>593</v>
      </c>
      <c r="B193" t="s">
        <v>594</v>
      </c>
      <c r="C193">
        <v>48</v>
      </c>
      <c r="D193" s="12">
        <v>9967</v>
      </c>
      <c r="E193" s="1">
        <v>13</v>
      </c>
      <c r="F193">
        <v>2009</v>
      </c>
      <c r="G193" s="11" t="s">
        <v>12</v>
      </c>
      <c r="H193" s="1">
        <f>bestsellers_with_categories[[#This Row],[Reviews]]*bestsellers_with_categories[[#This Row],[Price]]</f>
        <v>129571</v>
      </c>
      <c r="I193" t="str">
        <f>IF(bestsellers_with_categories[[#This Row],[User Rating]]&gt;40,"recommended","not recommended")</f>
        <v>recommended</v>
      </c>
    </row>
    <row r="194" spans="1:9" x14ac:dyDescent="0.3">
      <c r="A194" t="s">
        <v>15</v>
      </c>
      <c r="B194" t="s">
        <v>16</v>
      </c>
      <c r="C194">
        <v>47</v>
      </c>
      <c r="D194">
        <v>21424</v>
      </c>
      <c r="E194" s="1">
        <v>6</v>
      </c>
      <c r="F194">
        <v>2017</v>
      </c>
      <c r="G194" t="s">
        <v>12</v>
      </c>
      <c r="H194" s="1">
        <f>bestsellers_with_categories[[#This Row],[Reviews]]*bestsellers_with_categories[[#This Row],[Price]]</f>
        <v>128544</v>
      </c>
      <c r="I194" t="str">
        <f>IF(bestsellers_with_categories[[#This Row],[User Rating]]&gt;40,"recommended","not recommended")</f>
        <v>recommended</v>
      </c>
    </row>
    <row r="195" spans="1:9" x14ac:dyDescent="0.3">
      <c r="A195" t="s">
        <v>74</v>
      </c>
      <c r="B195" t="s">
        <v>75</v>
      </c>
      <c r="C195">
        <v>46</v>
      </c>
      <c r="D195" s="12">
        <v>9769</v>
      </c>
      <c r="E195" s="1">
        <v>13</v>
      </c>
      <c r="F195">
        <v>2009</v>
      </c>
      <c r="G195" s="11" t="s">
        <v>12</v>
      </c>
      <c r="H195" s="1">
        <f>bestsellers_with_categories[[#This Row],[Reviews]]*bestsellers_with_categories[[#This Row],[Price]]</f>
        <v>126997</v>
      </c>
      <c r="I195" t="str">
        <f>IF(bestsellers_with_categories[[#This Row],[User Rating]]&gt;40,"recommended","not recommended")</f>
        <v>recommended</v>
      </c>
    </row>
    <row r="196" spans="1:9" x14ac:dyDescent="0.3">
      <c r="A196" t="s">
        <v>463</v>
      </c>
      <c r="B196" t="s">
        <v>464</v>
      </c>
      <c r="C196">
        <v>47</v>
      </c>
      <c r="D196">
        <v>9289</v>
      </c>
      <c r="E196" s="1">
        <v>13</v>
      </c>
      <c r="F196">
        <v>2010</v>
      </c>
      <c r="G196" t="s">
        <v>9</v>
      </c>
      <c r="H196" s="1">
        <f>bestsellers_with_categories[[#This Row],[Reviews]]*bestsellers_with_categories[[#This Row],[Price]]</f>
        <v>120757</v>
      </c>
      <c r="I196" t="str">
        <f>IF(bestsellers_with_categories[[#This Row],[User Rating]]&gt;40,"recommended","not recommended")</f>
        <v>recommended</v>
      </c>
    </row>
    <row r="197" spans="1:9" x14ac:dyDescent="0.3">
      <c r="A197" t="s">
        <v>541</v>
      </c>
      <c r="B197" t="s">
        <v>542</v>
      </c>
      <c r="C197">
        <v>48</v>
      </c>
      <c r="D197">
        <v>30183</v>
      </c>
      <c r="E197" s="1">
        <v>4</v>
      </c>
      <c r="F197">
        <v>2018</v>
      </c>
      <c r="G197" t="s">
        <v>12</v>
      </c>
      <c r="H197" s="1">
        <f>bestsellers_with_categories[[#This Row],[Reviews]]*bestsellers_with_categories[[#This Row],[Price]]</f>
        <v>120732</v>
      </c>
      <c r="I197" t="str">
        <f>IF(bestsellers_with_categories[[#This Row],[User Rating]]&gt;40,"recommended","not recommended")</f>
        <v>recommended</v>
      </c>
    </row>
    <row r="198" spans="1:9" x14ac:dyDescent="0.3">
      <c r="A198" t="s">
        <v>541</v>
      </c>
      <c r="B198" t="s">
        <v>542</v>
      </c>
      <c r="C198">
        <v>48</v>
      </c>
      <c r="D198">
        <v>30183</v>
      </c>
      <c r="E198" s="1">
        <v>4</v>
      </c>
      <c r="F198">
        <v>2019</v>
      </c>
      <c r="G198" t="s">
        <v>12</v>
      </c>
      <c r="H198" s="1">
        <f>bestsellers_with_categories[[#This Row],[Reviews]]*bestsellers_with_categories[[#This Row],[Price]]</f>
        <v>120732</v>
      </c>
      <c r="I198" t="str">
        <f>IF(bestsellers_with_categories[[#This Row],[User Rating]]&gt;40,"recommended","not recommended")</f>
        <v>recommended</v>
      </c>
    </row>
    <row r="199" spans="1:9" x14ac:dyDescent="0.3">
      <c r="A199" t="s">
        <v>537</v>
      </c>
      <c r="B199" t="s">
        <v>538</v>
      </c>
      <c r="C199">
        <v>46</v>
      </c>
      <c r="D199">
        <v>7508</v>
      </c>
      <c r="E199" s="1">
        <v>16</v>
      </c>
      <c r="F199">
        <v>2015</v>
      </c>
      <c r="G199" t="s">
        <v>9</v>
      </c>
      <c r="H199" s="1">
        <f>bestsellers_with_categories[[#This Row],[Reviews]]*bestsellers_with_categories[[#This Row],[Price]]</f>
        <v>120128</v>
      </c>
      <c r="I199" t="str">
        <f>IF(bestsellers_with_categories[[#This Row],[User Rating]]&gt;40,"recommended","not recommended")</f>
        <v>recommended</v>
      </c>
    </row>
    <row r="200" spans="1:9" x14ac:dyDescent="0.3">
      <c r="A200" t="s">
        <v>537</v>
      </c>
      <c r="B200" t="s">
        <v>538</v>
      </c>
      <c r="C200">
        <v>46</v>
      </c>
      <c r="D200">
        <v>7508</v>
      </c>
      <c r="E200" s="1">
        <v>16</v>
      </c>
      <c r="F200">
        <v>2016</v>
      </c>
      <c r="G200" t="s">
        <v>9</v>
      </c>
      <c r="H200" s="1">
        <f>bestsellers_with_categories[[#This Row],[Reviews]]*bestsellers_with_categories[[#This Row],[Price]]</f>
        <v>120128</v>
      </c>
      <c r="I200" t="str">
        <f>IF(bestsellers_with_categories[[#This Row],[User Rating]]&gt;40,"recommended","not recommended")</f>
        <v>recommended</v>
      </c>
    </row>
    <row r="201" spans="1:9" x14ac:dyDescent="0.3">
      <c r="A201" t="s">
        <v>537</v>
      </c>
      <c r="B201" t="s">
        <v>538</v>
      </c>
      <c r="C201">
        <v>46</v>
      </c>
      <c r="D201">
        <v>7508</v>
      </c>
      <c r="E201" s="1">
        <v>16</v>
      </c>
      <c r="F201">
        <v>2017</v>
      </c>
      <c r="G201" t="s">
        <v>9</v>
      </c>
      <c r="H201" s="1">
        <f>bestsellers_with_categories[[#This Row],[Reviews]]*bestsellers_with_categories[[#This Row],[Price]]</f>
        <v>120128</v>
      </c>
      <c r="I201" t="str">
        <f>IF(bestsellers_with_categories[[#This Row],[User Rating]]&gt;40,"recommended","not recommended")</f>
        <v>recommended</v>
      </c>
    </row>
    <row r="202" spans="1:9" x14ac:dyDescent="0.3">
      <c r="A202" t="s">
        <v>504</v>
      </c>
      <c r="B202" t="s">
        <v>503</v>
      </c>
      <c r="C202">
        <v>44</v>
      </c>
      <c r="D202">
        <v>7058</v>
      </c>
      <c r="E202" s="1">
        <v>17</v>
      </c>
      <c r="F202">
        <v>2018</v>
      </c>
      <c r="G202" t="s">
        <v>9</v>
      </c>
      <c r="H202" s="1">
        <f>bestsellers_with_categories[[#This Row],[Reviews]]*bestsellers_with_categories[[#This Row],[Price]]</f>
        <v>119986</v>
      </c>
      <c r="I202" t="str">
        <f>IF(bestsellers_with_categories[[#This Row],[User Rating]]&gt;40,"recommended","not recommended")</f>
        <v>recommended</v>
      </c>
    </row>
    <row r="203" spans="1:9" x14ac:dyDescent="0.3">
      <c r="A203" t="s">
        <v>43</v>
      </c>
      <c r="B203" t="s">
        <v>44</v>
      </c>
      <c r="C203">
        <v>48</v>
      </c>
      <c r="D203">
        <v>9198</v>
      </c>
      <c r="E203" s="1">
        <v>13</v>
      </c>
      <c r="F203">
        <v>2016</v>
      </c>
      <c r="G203" t="s">
        <v>9</v>
      </c>
      <c r="H203" s="1">
        <f>bestsellers_with_categories[[#This Row],[Reviews]]*bestsellers_with_categories[[#This Row],[Price]]</f>
        <v>119574</v>
      </c>
      <c r="I203" t="str">
        <f>IF(bestsellers_with_categories[[#This Row],[User Rating]]&gt;40,"recommended","not recommended")</f>
        <v>recommended</v>
      </c>
    </row>
    <row r="204" spans="1:9" x14ac:dyDescent="0.3">
      <c r="A204" t="s">
        <v>395</v>
      </c>
      <c r="B204" t="s">
        <v>396</v>
      </c>
      <c r="C204">
        <v>47</v>
      </c>
      <c r="D204">
        <v>11813</v>
      </c>
      <c r="E204" s="1">
        <v>10</v>
      </c>
      <c r="F204">
        <v>2010</v>
      </c>
      <c r="G204" t="s">
        <v>12</v>
      </c>
      <c r="H204" s="1">
        <f>bestsellers_with_categories[[#This Row],[Reviews]]*bestsellers_with_categories[[#This Row],[Price]]</f>
        <v>118130</v>
      </c>
      <c r="I204" t="str">
        <f>IF(bestsellers_with_categories[[#This Row],[User Rating]]&gt;40,"recommended","not recommended")</f>
        <v>recommended</v>
      </c>
    </row>
    <row r="205" spans="1:9" x14ac:dyDescent="0.3">
      <c r="A205" t="s">
        <v>395</v>
      </c>
      <c r="B205" t="s">
        <v>396</v>
      </c>
      <c r="C205">
        <v>47</v>
      </c>
      <c r="D205">
        <v>11813</v>
      </c>
      <c r="E205" s="1">
        <v>10</v>
      </c>
      <c r="F205">
        <v>2011</v>
      </c>
      <c r="G205" t="s">
        <v>12</v>
      </c>
      <c r="H205" s="1">
        <f>bestsellers_with_categories[[#This Row],[Reviews]]*bestsellers_with_categories[[#This Row],[Price]]</f>
        <v>118130</v>
      </c>
      <c r="I205" t="str">
        <f>IF(bestsellers_with_categories[[#This Row],[User Rating]]&gt;40,"recommended","not recommended")</f>
        <v>recommended</v>
      </c>
    </row>
    <row r="206" spans="1:9" x14ac:dyDescent="0.3">
      <c r="A206" t="s">
        <v>440</v>
      </c>
      <c r="B206" t="s">
        <v>438</v>
      </c>
      <c r="C206">
        <v>47</v>
      </c>
      <c r="D206" s="12">
        <v>7251</v>
      </c>
      <c r="E206" s="1">
        <v>16</v>
      </c>
      <c r="F206">
        <v>2009</v>
      </c>
      <c r="G206" s="11" t="s">
        <v>12</v>
      </c>
      <c r="H206" s="1">
        <f>bestsellers_with_categories[[#This Row],[Reviews]]*bestsellers_with_categories[[#This Row],[Price]]</f>
        <v>116016</v>
      </c>
      <c r="I206" t="str">
        <f>IF(bestsellers_with_categories[[#This Row],[User Rating]]&gt;40,"recommended","not recommended")</f>
        <v>recommended</v>
      </c>
    </row>
    <row r="207" spans="1:9" x14ac:dyDescent="0.3">
      <c r="A207" t="s">
        <v>529</v>
      </c>
      <c r="B207" t="s">
        <v>530</v>
      </c>
      <c r="C207">
        <v>47</v>
      </c>
      <c r="D207">
        <v>11550</v>
      </c>
      <c r="E207" s="1">
        <v>10</v>
      </c>
      <c r="F207">
        <v>2019</v>
      </c>
      <c r="G207" t="s">
        <v>9</v>
      </c>
      <c r="H207" s="1">
        <f>bestsellers_with_categories[[#This Row],[Reviews]]*bestsellers_with_categories[[#This Row],[Price]]</f>
        <v>115500</v>
      </c>
      <c r="I207" t="str">
        <f>IF(bestsellers_with_categories[[#This Row],[User Rating]]&gt;40,"recommended","not recommended")</f>
        <v>recommended</v>
      </c>
    </row>
    <row r="208" spans="1:9" x14ac:dyDescent="0.3">
      <c r="A208" t="s">
        <v>606</v>
      </c>
      <c r="B208" t="s">
        <v>607</v>
      </c>
      <c r="C208">
        <v>47</v>
      </c>
      <c r="D208">
        <v>14331</v>
      </c>
      <c r="E208" s="1">
        <v>8</v>
      </c>
      <c r="F208">
        <v>2016</v>
      </c>
      <c r="G208" t="s">
        <v>9</v>
      </c>
      <c r="H208" s="1">
        <f>bestsellers_with_categories[[#This Row],[Reviews]]*bestsellers_with_categories[[#This Row],[Price]]</f>
        <v>114648</v>
      </c>
      <c r="I208" t="str">
        <f>IF(bestsellers_with_categories[[#This Row],[User Rating]]&gt;40,"recommended","not recommended")</f>
        <v>recommended</v>
      </c>
    </row>
    <row r="209" spans="1:9" x14ac:dyDescent="0.3">
      <c r="A209" t="s">
        <v>606</v>
      </c>
      <c r="B209" t="s">
        <v>607</v>
      </c>
      <c r="C209">
        <v>47</v>
      </c>
      <c r="D209">
        <v>14331</v>
      </c>
      <c r="E209" s="1">
        <v>8</v>
      </c>
      <c r="F209">
        <v>2017</v>
      </c>
      <c r="G209" t="s">
        <v>9</v>
      </c>
      <c r="H209" s="1">
        <f>bestsellers_with_categories[[#This Row],[Reviews]]*bestsellers_with_categories[[#This Row],[Price]]</f>
        <v>114648</v>
      </c>
      <c r="I209" t="str">
        <f>IF(bestsellers_with_categories[[#This Row],[User Rating]]&gt;40,"recommended","not recommended")</f>
        <v>recommended</v>
      </c>
    </row>
    <row r="210" spans="1:9" x14ac:dyDescent="0.3">
      <c r="A210" t="s">
        <v>606</v>
      </c>
      <c r="B210" t="s">
        <v>607</v>
      </c>
      <c r="C210">
        <v>47</v>
      </c>
      <c r="D210">
        <v>14331</v>
      </c>
      <c r="E210" s="1">
        <v>8</v>
      </c>
      <c r="F210">
        <v>2018</v>
      </c>
      <c r="G210" t="s">
        <v>9</v>
      </c>
      <c r="H210" s="1">
        <f>bestsellers_with_categories[[#This Row],[Reviews]]*bestsellers_with_categories[[#This Row],[Price]]</f>
        <v>114648</v>
      </c>
      <c r="I210" t="str">
        <f>IF(bestsellers_with_categories[[#This Row],[User Rating]]&gt;40,"recommended","not recommended")</f>
        <v>recommended</v>
      </c>
    </row>
    <row r="211" spans="1:9" x14ac:dyDescent="0.3">
      <c r="A211" t="s">
        <v>606</v>
      </c>
      <c r="B211" t="s">
        <v>607</v>
      </c>
      <c r="C211">
        <v>47</v>
      </c>
      <c r="D211">
        <v>14331</v>
      </c>
      <c r="E211" s="1">
        <v>8</v>
      </c>
      <c r="F211">
        <v>2019</v>
      </c>
      <c r="G211" t="s">
        <v>9</v>
      </c>
      <c r="H211" s="1">
        <f>bestsellers_with_categories[[#This Row],[Reviews]]*bestsellers_with_categories[[#This Row],[Price]]</f>
        <v>114648</v>
      </c>
      <c r="I211" t="str">
        <f>IF(bestsellers_with_categories[[#This Row],[User Rating]]&gt;40,"recommended","not recommended")</f>
        <v>recommended</v>
      </c>
    </row>
    <row r="212" spans="1:9" x14ac:dyDescent="0.3">
      <c r="A212" t="s">
        <v>314</v>
      </c>
      <c r="B212" t="s">
        <v>315</v>
      </c>
      <c r="C212">
        <v>46</v>
      </c>
      <c r="D212">
        <v>8093</v>
      </c>
      <c r="E212" s="1">
        <v>14</v>
      </c>
      <c r="F212">
        <v>2012</v>
      </c>
      <c r="G212" t="s">
        <v>9</v>
      </c>
      <c r="H212" s="1">
        <f>bestsellers_with_categories[[#This Row],[Reviews]]*bestsellers_with_categories[[#This Row],[Price]]</f>
        <v>113302</v>
      </c>
      <c r="I212" t="str">
        <f>IF(bestsellers_with_categories[[#This Row],[User Rating]]&gt;40,"recommended","not recommended")</f>
        <v>recommended</v>
      </c>
    </row>
    <row r="213" spans="1:9" x14ac:dyDescent="0.3">
      <c r="A213" t="s">
        <v>412</v>
      </c>
      <c r="B213" t="s">
        <v>153</v>
      </c>
      <c r="C213">
        <v>33</v>
      </c>
      <c r="D213">
        <v>9372</v>
      </c>
      <c r="E213" s="1">
        <v>12</v>
      </c>
      <c r="F213">
        <v>2012</v>
      </c>
      <c r="G213" t="s">
        <v>12</v>
      </c>
      <c r="H213" s="1">
        <f>bestsellers_with_categories[[#This Row],[Reviews]]*bestsellers_with_categories[[#This Row],[Price]]</f>
        <v>112464</v>
      </c>
      <c r="I213" t="str">
        <f>IF(bestsellers_with_categories[[#This Row],[User Rating]]&gt;40,"recommended","not recommended")</f>
        <v>not recommended</v>
      </c>
    </row>
    <row r="214" spans="1:9" x14ac:dyDescent="0.3">
      <c r="A214" t="s">
        <v>296</v>
      </c>
      <c r="B214" t="s">
        <v>297</v>
      </c>
      <c r="C214">
        <v>47</v>
      </c>
      <c r="D214">
        <v>10199</v>
      </c>
      <c r="E214" s="1">
        <v>11</v>
      </c>
      <c r="F214">
        <v>2017</v>
      </c>
      <c r="G214" t="s">
        <v>9</v>
      </c>
      <c r="H214" s="1">
        <f>bestsellers_with_categories[[#This Row],[Reviews]]*bestsellers_with_categories[[#This Row],[Price]]</f>
        <v>112189</v>
      </c>
      <c r="I214" t="str">
        <f>IF(bestsellers_with_categories[[#This Row],[User Rating]]&gt;40,"recommended","not recommended")</f>
        <v>recommended</v>
      </c>
    </row>
    <row r="215" spans="1:9" x14ac:dyDescent="0.3">
      <c r="A215" t="s">
        <v>476</v>
      </c>
      <c r="B215" t="s">
        <v>377</v>
      </c>
      <c r="C215">
        <v>44</v>
      </c>
      <c r="D215">
        <v>6222</v>
      </c>
      <c r="E215" s="1">
        <v>18</v>
      </c>
      <c r="F215">
        <v>2011</v>
      </c>
      <c r="G215" t="s">
        <v>12</v>
      </c>
      <c r="H215" s="1">
        <f>bestsellers_with_categories[[#This Row],[Reviews]]*bestsellers_with_categories[[#This Row],[Price]]</f>
        <v>111996</v>
      </c>
      <c r="I215" t="str">
        <f>IF(bestsellers_with_categories[[#This Row],[User Rating]]&gt;40,"recommended","not recommended")</f>
        <v>recommended</v>
      </c>
    </row>
    <row r="216" spans="1:9" x14ac:dyDescent="0.3">
      <c r="A216" t="s">
        <v>457</v>
      </c>
      <c r="B216" t="s">
        <v>458</v>
      </c>
      <c r="C216">
        <v>48</v>
      </c>
      <c r="D216">
        <v>13871</v>
      </c>
      <c r="E216" s="1">
        <v>8</v>
      </c>
      <c r="F216">
        <v>2011</v>
      </c>
      <c r="G216" t="s">
        <v>12</v>
      </c>
      <c r="H216" s="1">
        <f>bestsellers_with_categories[[#This Row],[Reviews]]*bestsellers_with_categories[[#This Row],[Price]]</f>
        <v>110968</v>
      </c>
      <c r="I216" t="str">
        <f>IF(bestsellers_with_categories[[#This Row],[User Rating]]&gt;40,"recommended","not recommended")</f>
        <v>recommended</v>
      </c>
    </row>
    <row r="217" spans="1:9" x14ac:dyDescent="0.3">
      <c r="A217" t="s">
        <v>455</v>
      </c>
      <c r="B217" t="s">
        <v>456</v>
      </c>
      <c r="C217">
        <v>48</v>
      </c>
      <c r="D217">
        <v>9947</v>
      </c>
      <c r="E217" s="1">
        <v>11</v>
      </c>
      <c r="F217">
        <v>2018</v>
      </c>
      <c r="G217" t="s">
        <v>12</v>
      </c>
      <c r="H217" s="1">
        <f>bestsellers_with_categories[[#This Row],[Reviews]]*bestsellers_with_categories[[#This Row],[Price]]</f>
        <v>109417</v>
      </c>
      <c r="I217" t="str">
        <f>IF(bestsellers_with_categories[[#This Row],[User Rating]]&gt;40,"recommended","not recommended")</f>
        <v>recommended</v>
      </c>
    </row>
    <row r="218" spans="1:9" x14ac:dyDescent="0.3">
      <c r="A218" t="s">
        <v>437</v>
      </c>
      <c r="B218" t="s">
        <v>438</v>
      </c>
      <c r="C218">
        <v>47</v>
      </c>
      <c r="D218">
        <v>7747</v>
      </c>
      <c r="E218" s="1">
        <v>14</v>
      </c>
      <c r="F218">
        <v>2010</v>
      </c>
      <c r="G218" t="s">
        <v>12</v>
      </c>
      <c r="H218" s="1">
        <f>bestsellers_with_categories[[#This Row],[Reviews]]*bestsellers_with_categories[[#This Row],[Price]]</f>
        <v>108458</v>
      </c>
      <c r="I218" t="str">
        <f>IF(bestsellers_with_categories[[#This Row],[User Rating]]&gt;40,"recommended","not recommended")</f>
        <v>recommended</v>
      </c>
    </row>
    <row r="219" spans="1:9" x14ac:dyDescent="0.3">
      <c r="A219" t="s">
        <v>437</v>
      </c>
      <c r="B219" t="s">
        <v>438</v>
      </c>
      <c r="C219">
        <v>47</v>
      </c>
      <c r="D219">
        <v>7747</v>
      </c>
      <c r="E219" s="1">
        <v>14</v>
      </c>
      <c r="F219">
        <v>2011</v>
      </c>
      <c r="G219" t="s">
        <v>12</v>
      </c>
      <c r="H219" s="1">
        <f>bestsellers_with_categories[[#This Row],[Reviews]]*bestsellers_with_categories[[#This Row],[Price]]</f>
        <v>108458</v>
      </c>
      <c r="I219" t="str">
        <f>IF(bestsellers_with_categories[[#This Row],[User Rating]]&gt;40,"recommended","not recommended")</f>
        <v>recommended</v>
      </c>
    </row>
    <row r="220" spans="1:9" x14ac:dyDescent="0.3">
      <c r="A220" t="s">
        <v>470</v>
      </c>
      <c r="B220" t="s">
        <v>471</v>
      </c>
      <c r="C220">
        <v>49</v>
      </c>
      <c r="D220">
        <v>5396</v>
      </c>
      <c r="E220" s="1">
        <v>20</v>
      </c>
      <c r="F220">
        <v>2013</v>
      </c>
      <c r="G220" t="s">
        <v>12</v>
      </c>
      <c r="H220" s="1">
        <f>bestsellers_with_categories[[#This Row],[Reviews]]*bestsellers_with_categories[[#This Row],[Price]]</f>
        <v>107920</v>
      </c>
      <c r="I220" t="str">
        <f>IF(bestsellers_with_categories[[#This Row],[User Rating]]&gt;40,"recommended","not recommended")</f>
        <v>recommended</v>
      </c>
    </row>
    <row r="221" spans="1:9" x14ac:dyDescent="0.3">
      <c r="A221" t="s">
        <v>576</v>
      </c>
      <c r="B221" t="s">
        <v>577</v>
      </c>
      <c r="C221">
        <v>45</v>
      </c>
      <c r="D221">
        <v>8958</v>
      </c>
      <c r="E221" s="1">
        <v>12</v>
      </c>
      <c r="F221">
        <v>2011</v>
      </c>
      <c r="G221" t="s">
        <v>12</v>
      </c>
      <c r="H221" s="1">
        <f>bestsellers_with_categories[[#This Row],[Reviews]]*bestsellers_with_categories[[#This Row],[Price]]</f>
        <v>107496</v>
      </c>
      <c r="I221" t="str">
        <f>IF(bestsellers_with_categories[[#This Row],[User Rating]]&gt;40,"recommended","not recommended")</f>
        <v>recommended</v>
      </c>
    </row>
    <row r="222" spans="1:9" x14ac:dyDescent="0.3">
      <c r="A222" t="s">
        <v>583</v>
      </c>
      <c r="B222" t="s">
        <v>584</v>
      </c>
      <c r="C222">
        <v>48</v>
      </c>
      <c r="D222">
        <v>8170</v>
      </c>
      <c r="E222" s="1">
        <v>13</v>
      </c>
      <c r="F222">
        <v>2019</v>
      </c>
      <c r="G222" t="s">
        <v>12</v>
      </c>
      <c r="H222" s="1">
        <f>bestsellers_with_categories[[#This Row],[Reviews]]*bestsellers_with_categories[[#This Row],[Price]]</f>
        <v>106210</v>
      </c>
      <c r="I222" t="str">
        <f>IF(bestsellers_with_categories[[#This Row],[User Rating]]&gt;40,"recommended","not recommended")</f>
        <v>recommended</v>
      </c>
    </row>
    <row r="223" spans="1:9" x14ac:dyDescent="0.3">
      <c r="A223" t="s">
        <v>122</v>
      </c>
      <c r="B223" t="s">
        <v>48</v>
      </c>
      <c r="C223">
        <v>45</v>
      </c>
      <c r="D223">
        <v>17684</v>
      </c>
      <c r="E223" s="1">
        <v>6</v>
      </c>
      <c r="F223">
        <v>2014</v>
      </c>
      <c r="G223" t="s">
        <v>12</v>
      </c>
      <c r="H223" s="1">
        <f>bestsellers_with_categories[[#This Row],[Reviews]]*bestsellers_with_categories[[#This Row],[Price]]</f>
        <v>106104</v>
      </c>
      <c r="I223" t="str">
        <f>IF(bestsellers_with_categories[[#This Row],[User Rating]]&gt;40,"recommended","not recommended")</f>
        <v>recommended</v>
      </c>
    </row>
    <row r="224" spans="1:9" x14ac:dyDescent="0.3">
      <c r="A224" t="s">
        <v>246</v>
      </c>
      <c r="B224" t="s">
        <v>247</v>
      </c>
      <c r="C224">
        <v>46</v>
      </c>
      <c r="D224">
        <v>5299</v>
      </c>
      <c r="E224" s="1">
        <v>20</v>
      </c>
      <c r="F224">
        <v>2011</v>
      </c>
      <c r="G224" t="s">
        <v>12</v>
      </c>
      <c r="H224" s="1">
        <f>bestsellers_with_categories[[#This Row],[Reviews]]*bestsellers_with_categories[[#This Row],[Price]]</f>
        <v>105980</v>
      </c>
      <c r="I224" t="str">
        <f>IF(bestsellers_with_categories[[#This Row],[User Rating]]&gt;40,"recommended","not recommended")</f>
        <v>recommended</v>
      </c>
    </row>
    <row r="225" spans="1:9" x14ac:dyDescent="0.3">
      <c r="A225" t="s">
        <v>545</v>
      </c>
      <c r="B225" t="s">
        <v>546</v>
      </c>
      <c r="C225">
        <v>47</v>
      </c>
      <c r="D225">
        <v>7034</v>
      </c>
      <c r="E225" s="1">
        <v>15</v>
      </c>
      <c r="F225">
        <v>2013</v>
      </c>
      <c r="G225" t="s">
        <v>9</v>
      </c>
      <c r="H225" s="1">
        <f>bestsellers_with_categories[[#This Row],[Reviews]]*bestsellers_with_categories[[#This Row],[Price]]</f>
        <v>105510</v>
      </c>
      <c r="I225" t="str">
        <f>IF(bestsellers_with_categories[[#This Row],[User Rating]]&gt;40,"recommended","not recommended")</f>
        <v>recommended</v>
      </c>
    </row>
    <row r="226" spans="1:9" x14ac:dyDescent="0.3">
      <c r="A226" t="s">
        <v>565</v>
      </c>
      <c r="B226" t="s">
        <v>75</v>
      </c>
      <c r="C226">
        <v>47</v>
      </c>
      <c r="D226" s="12">
        <v>11676</v>
      </c>
      <c r="E226" s="1">
        <v>9</v>
      </c>
      <c r="F226">
        <v>2009</v>
      </c>
      <c r="G226" s="11" t="s">
        <v>12</v>
      </c>
      <c r="H226" s="1">
        <f>bestsellers_with_categories[[#This Row],[Reviews]]*bestsellers_with_categories[[#This Row],[Price]]</f>
        <v>105084</v>
      </c>
      <c r="I226" t="str">
        <f>IF(bestsellers_with_categories[[#This Row],[User Rating]]&gt;40,"recommended","not recommended")</f>
        <v>recommended</v>
      </c>
    </row>
    <row r="227" spans="1:9" x14ac:dyDescent="0.3">
      <c r="A227" t="s">
        <v>134</v>
      </c>
      <c r="B227" t="s">
        <v>80</v>
      </c>
      <c r="C227">
        <v>48</v>
      </c>
      <c r="D227">
        <v>5118</v>
      </c>
      <c r="E227" s="1">
        <v>20</v>
      </c>
      <c r="F227">
        <v>2016</v>
      </c>
      <c r="G227" t="s">
        <v>12</v>
      </c>
      <c r="H227" s="1">
        <f>bestsellers_with_categories[[#This Row],[Reviews]]*bestsellers_with_categories[[#This Row],[Price]]</f>
        <v>102360</v>
      </c>
      <c r="I227" t="str">
        <f>IF(bestsellers_with_categories[[#This Row],[User Rating]]&gt;40,"recommended","not recommended")</f>
        <v>recommended</v>
      </c>
    </row>
    <row r="228" spans="1:9" x14ac:dyDescent="0.3">
      <c r="A228" t="s">
        <v>131</v>
      </c>
      <c r="B228" t="s">
        <v>128</v>
      </c>
      <c r="C228">
        <v>49</v>
      </c>
      <c r="D228">
        <v>12619</v>
      </c>
      <c r="E228" s="1">
        <v>8</v>
      </c>
      <c r="F228">
        <v>2019</v>
      </c>
      <c r="G228" t="s">
        <v>12</v>
      </c>
      <c r="H228" s="1">
        <f>bestsellers_with_categories[[#This Row],[Reviews]]*bestsellers_with_categories[[#This Row],[Price]]</f>
        <v>100952</v>
      </c>
      <c r="I228" t="str">
        <f>IF(bestsellers_with_categories[[#This Row],[User Rating]]&gt;40,"recommended","not recommended")</f>
        <v>recommended</v>
      </c>
    </row>
    <row r="229" spans="1:9" x14ac:dyDescent="0.3">
      <c r="A229" t="s">
        <v>145</v>
      </c>
      <c r="B229" t="s">
        <v>75</v>
      </c>
      <c r="C229">
        <v>47</v>
      </c>
      <c r="D229" s="12">
        <v>5505</v>
      </c>
      <c r="E229" s="1">
        <v>18</v>
      </c>
      <c r="F229">
        <v>2009</v>
      </c>
      <c r="G229" s="11" t="s">
        <v>12</v>
      </c>
      <c r="H229" s="1">
        <f>bestsellers_with_categories[[#This Row],[Reviews]]*bestsellers_with_categories[[#This Row],[Price]]</f>
        <v>99090</v>
      </c>
      <c r="I229" t="str">
        <f>IF(bestsellers_with_categories[[#This Row],[User Rating]]&gt;40,"recommended","not recommended")</f>
        <v>recommended</v>
      </c>
    </row>
    <row r="230" spans="1:9" x14ac:dyDescent="0.3">
      <c r="A230" t="s">
        <v>578</v>
      </c>
      <c r="B230" t="s">
        <v>579</v>
      </c>
      <c r="C230">
        <v>46</v>
      </c>
      <c r="D230">
        <v>5492</v>
      </c>
      <c r="E230" s="1">
        <v>18</v>
      </c>
      <c r="F230">
        <v>2017</v>
      </c>
      <c r="G230" t="s">
        <v>9</v>
      </c>
      <c r="H230" s="1">
        <f>bestsellers_with_categories[[#This Row],[Reviews]]*bestsellers_with_categories[[#This Row],[Price]]</f>
        <v>98856</v>
      </c>
      <c r="I230" t="str">
        <f>IF(bestsellers_with_categories[[#This Row],[User Rating]]&gt;40,"recommended","not recommended")</f>
        <v>recommended</v>
      </c>
    </row>
    <row r="231" spans="1:9" x14ac:dyDescent="0.3">
      <c r="A231" t="s">
        <v>543</v>
      </c>
      <c r="B231" t="s">
        <v>544</v>
      </c>
      <c r="C231">
        <v>47</v>
      </c>
      <c r="D231">
        <v>6169</v>
      </c>
      <c r="E231" s="1">
        <v>16</v>
      </c>
      <c r="F231">
        <v>2015</v>
      </c>
      <c r="G231" t="s">
        <v>9</v>
      </c>
      <c r="H231" s="1">
        <f>bestsellers_with_categories[[#This Row],[Reviews]]*bestsellers_with_categories[[#This Row],[Price]]</f>
        <v>98704</v>
      </c>
      <c r="I231" t="str">
        <f>IF(bestsellers_with_categories[[#This Row],[User Rating]]&gt;40,"recommended","not recommended")</f>
        <v>recommended</v>
      </c>
    </row>
    <row r="232" spans="1:9" x14ac:dyDescent="0.3">
      <c r="A232" t="s">
        <v>459</v>
      </c>
      <c r="B232" t="s">
        <v>333</v>
      </c>
      <c r="C232">
        <v>48</v>
      </c>
      <c r="D232">
        <v>6982</v>
      </c>
      <c r="E232" s="1">
        <v>14</v>
      </c>
      <c r="F232">
        <v>2013</v>
      </c>
      <c r="G232" t="s">
        <v>12</v>
      </c>
      <c r="H232" s="1">
        <f>bestsellers_with_categories[[#This Row],[Reviews]]*bestsellers_with_categories[[#This Row],[Price]]</f>
        <v>97748</v>
      </c>
      <c r="I232" t="str">
        <f>IF(bestsellers_with_categories[[#This Row],[User Rating]]&gt;40,"recommended","not recommended")</f>
        <v>recommended</v>
      </c>
    </row>
    <row r="233" spans="1:9" x14ac:dyDescent="0.3">
      <c r="A233" t="s">
        <v>535</v>
      </c>
      <c r="B233" t="s">
        <v>536</v>
      </c>
      <c r="C233">
        <v>49</v>
      </c>
      <c r="D233">
        <v>19546</v>
      </c>
      <c r="E233" s="1">
        <v>5</v>
      </c>
      <c r="F233">
        <v>2013</v>
      </c>
      <c r="G233" t="s">
        <v>12</v>
      </c>
      <c r="H233" s="1">
        <f>bestsellers_with_categories[[#This Row],[Reviews]]*bestsellers_with_categories[[#This Row],[Price]]</f>
        <v>97730</v>
      </c>
      <c r="I233" t="str">
        <f>IF(bestsellers_with_categories[[#This Row],[User Rating]]&gt;40,"recommended","not recommended")</f>
        <v>recommended</v>
      </c>
    </row>
    <row r="234" spans="1:9" x14ac:dyDescent="0.3">
      <c r="A234" t="s">
        <v>535</v>
      </c>
      <c r="B234" t="s">
        <v>536</v>
      </c>
      <c r="C234">
        <v>49</v>
      </c>
      <c r="D234">
        <v>19546</v>
      </c>
      <c r="E234" s="1">
        <v>5</v>
      </c>
      <c r="F234">
        <v>2014</v>
      </c>
      <c r="G234" t="s">
        <v>12</v>
      </c>
      <c r="H234" s="1">
        <f>bestsellers_with_categories[[#This Row],[Reviews]]*bestsellers_with_categories[[#This Row],[Price]]</f>
        <v>97730</v>
      </c>
      <c r="I234" t="str">
        <f>IF(bestsellers_with_categories[[#This Row],[User Rating]]&gt;40,"recommended","not recommended")</f>
        <v>recommended</v>
      </c>
    </row>
    <row r="235" spans="1:9" x14ac:dyDescent="0.3">
      <c r="A235" t="s">
        <v>535</v>
      </c>
      <c r="B235" t="s">
        <v>536</v>
      </c>
      <c r="C235">
        <v>49</v>
      </c>
      <c r="D235">
        <v>19546</v>
      </c>
      <c r="E235" s="1">
        <v>5</v>
      </c>
      <c r="F235">
        <v>2015</v>
      </c>
      <c r="G235" t="s">
        <v>12</v>
      </c>
      <c r="H235" s="1">
        <f>bestsellers_with_categories[[#This Row],[Reviews]]*bestsellers_with_categories[[#This Row],[Price]]</f>
        <v>97730</v>
      </c>
      <c r="I235" t="str">
        <f>IF(bestsellers_with_categories[[#This Row],[User Rating]]&gt;40,"recommended","not recommended")</f>
        <v>recommended</v>
      </c>
    </row>
    <row r="236" spans="1:9" x14ac:dyDescent="0.3">
      <c r="A236" t="s">
        <v>535</v>
      </c>
      <c r="B236" t="s">
        <v>536</v>
      </c>
      <c r="C236">
        <v>49</v>
      </c>
      <c r="D236">
        <v>19546</v>
      </c>
      <c r="E236" s="1">
        <v>5</v>
      </c>
      <c r="F236">
        <v>2016</v>
      </c>
      <c r="G236" t="s">
        <v>12</v>
      </c>
      <c r="H236" s="1">
        <f>bestsellers_with_categories[[#This Row],[Reviews]]*bestsellers_with_categories[[#This Row],[Price]]</f>
        <v>97730</v>
      </c>
      <c r="I236" t="str">
        <f>IF(bestsellers_with_categories[[#This Row],[User Rating]]&gt;40,"recommended","not recommended")</f>
        <v>recommended</v>
      </c>
    </row>
    <row r="237" spans="1:9" x14ac:dyDescent="0.3">
      <c r="A237" t="s">
        <v>535</v>
      </c>
      <c r="B237" t="s">
        <v>536</v>
      </c>
      <c r="C237">
        <v>49</v>
      </c>
      <c r="D237">
        <v>19546</v>
      </c>
      <c r="E237" s="1">
        <v>5</v>
      </c>
      <c r="F237">
        <v>2017</v>
      </c>
      <c r="G237" t="s">
        <v>12</v>
      </c>
      <c r="H237" s="1">
        <f>bestsellers_with_categories[[#This Row],[Reviews]]*bestsellers_with_categories[[#This Row],[Price]]</f>
        <v>97730</v>
      </c>
      <c r="I237" t="str">
        <f>IF(bestsellers_with_categories[[#This Row],[User Rating]]&gt;40,"recommended","not recommended")</f>
        <v>recommended</v>
      </c>
    </row>
    <row r="238" spans="1:9" x14ac:dyDescent="0.3">
      <c r="A238" t="s">
        <v>535</v>
      </c>
      <c r="B238" t="s">
        <v>536</v>
      </c>
      <c r="C238">
        <v>49</v>
      </c>
      <c r="D238">
        <v>19546</v>
      </c>
      <c r="E238" s="1">
        <v>5</v>
      </c>
      <c r="F238">
        <v>2018</v>
      </c>
      <c r="G238" t="s">
        <v>12</v>
      </c>
      <c r="H238" s="1">
        <f>bestsellers_with_categories[[#This Row],[Reviews]]*bestsellers_with_categories[[#This Row],[Price]]</f>
        <v>97730</v>
      </c>
      <c r="I238" t="str">
        <f>IF(bestsellers_with_categories[[#This Row],[User Rating]]&gt;40,"recommended","not recommended")</f>
        <v>recommended</v>
      </c>
    </row>
    <row r="239" spans="1:9" x14ac:dyDescent="0.3">
      <c r="A239" t="s">
        <v>535</v>
      </c>
      <c r="B239" t="s">
        <v>536</v>
      </c>
      <c r="C239">
        <v>49</v>
      </c>
      <c r="D239">
        <v>19546</v>
      </c>
      <c r="E239" s="1">
        <v>5</v>
      </c>
      <c r="F239">
        <v>2019</v>
      </c>
      <c r="G239" t="s">
        <v>12</v>
      </c>
      <c r="H239" s="1">
        <f>bestsellers_with_categories[[#This Row],[Reviews]]*bestsellers_with_categories[[#This Row],[Price]]</f>
        <v>97730</v>
      </c>
      <c r="I239" t="str">
        <f>IF(bestsellers_with_categories[[#This Row],[User Rating]]&gt;40,"recommended","not recommended")</f>
        <v>recommended</v>
      </c>
    </row>
    <row r="240" spans="1:9" x14ac:dyDescent="0.3">
      <c r="A240" t="s">
        <v>384</v>
      </c>
      <c r="B240" t="s">
        <v>385</v>
      </c>
      <c r="C240">
        <v>47</v>
      </c>
      <c r="D240">
        <v>3477</v>
      </c>
      <c r="E240" s="1">
        <v>28</v>
      </c>
      <c r="F240">
        <v>2010</v>
      </c>
      <c r="G240" t="s">
        <v>9</v>
      </c>
      <c r="H240" s="1">
        <f>bestsellers_with_categories[[#This Row],[Reviews]]*bestsellers_with_categories[[#This Row],[Price]]</f>
        <v>97356</v>
      </c>
      <c r="I240" t="str">
        <f>IF(bestsellers_with_categories[[#This Row],[User Rating]]&gt;40,"recommended","not recommended")</f>
        <v>recommended</v>
      </c>
    </row>
    <row r="241" spans="1:9" x14ac:dyDescent="0.3">
      <c r="A241" t="s">
        <v>384</v>
      </c>
      <c r="B241" t="s">
        <v>385</v>
      </c>
      <c r="C241">
        <v>47</v>
      </c>
      <c r="D241">
        <v>3477</v>
      </c>
      <c r="E241" s="1">
        <v>28</v>
      </c>
      <c r="F241">
        <v>2011</v>
      </c>
      <c r="G241" t="s">
        <v>9</v>
      </c>
      <c r="H241" s="1">
        <f>bestsellers_with_categories[[#This Row],[Reviews]]*bestsellers_with_categories[[#This Row],[Price]]</f>
        <v>97356</v>
      </c>
      <c r="I241" t="str">
        <f>IF(bestsellers_with_categories[[#This Row],[User Rating]]&gt;40,"recommended","not recommended")</f>
        <v>recommended</v>
      </c>
    </row>
    <row r="242" spans="1:9" x14ac:dyDescent="0.3">
      <c r="A242" t="s">
        <v>384</v>
      </c>
      <c r="B242" t="s">
        <v>385</v>
      </c>
      <c r="C242">
        <v>47</v>
      </c>
      <c r="D242">
        <v>3477</v>
      </c>
      <c r="E242" s="1">
        <v>28</v>
      </c>
      <c r="F242">
        <v>2012</v>
      </c>
      <c r="G242" t="s">
        <v>9</v>
      </c>
      <c r="H242" s="1">
        <f>bestsellers_with_categories[[#This Row],[Reviews]]*bestsellers_with_categories[[#This Row],[Price]]</f>
        <v>97356</v>
      </c>
      <c r="I242" t="str">
        <f>IF(bestsellers_with_categories[[#This Row],[User Rating]]&gt;40,"recommended","not recommended")</f>
        <v>recommended</v>
      </c>
    </row>
    <row r="243" spans="1:9" x14ac:dyDescent="0.3">
      <c r="A243" t="s">
        <v>384</v>
      </c>
      <c r="B243" t="s">
        <v>385</v>
      </c>
      <c r="C243">
        <v>47</v>
      </c>
      <c r="D243">
        <v>3477</v>
      </c>
      <c r="E243" s="1">
        <v>28</v>
      </c>
      <c r="F243">
        <v>2013</v>
      </c>
      <c r="G243" t="s">
        <v>9</v>
      </c>
      <c r="H243" s="1">
        <f>bestsellers_with_categories[[#This Row],[Reviews]]*bestsellers_with_categories[[#This Row],[Price]]</f>
        <v>97356</v>
      </c>
      <c r="I243" t="str">
        <f>IF(bestsellers_with_categories[[#This Row],[User Rating]]&gt;40,"recommended","not recommended")</f>
        <v>recommended</v>
      </c>
    </row>
    <row r="244" spans="1:9" x14ac:dyDescent="0.3">
      <c r="A244" t="s">
        <v>384</v>
      </c>
      <c r="B244" t="s">
        <v>385</v>
      </c>
      <c r="C244">
        <v>47</v>
      </c>
      <c r="D244">
        <v>3477</v>
      </c>
      <c r="E244" s="1">
        <v>28</v>
      </c>
      <c r="F244">
        <v>2014</v>
      </c>
      <c r="G244" t="s">
        <v>9</v>
      </c>
      <c r="H244" s="1">
        <f>bestsellers_with_categories[[#This Row],[Reviews]]*bestsellers_with_categories[[#This Row],[Price]]</f>
        <v>97356</v>
      </c>
      <c r="I244" t="str">
        <f>IF(bestsellers_with_categories[[#This Row],[User Rating]]&gt;40,"recommended","not recommended")</f>
        <v>recommended</v>
      </c>
    </row>
    <row r="245" spans="1:9" x14ac:dyDescent="0.3">
      <c r="A245" t="s">
        <v>413</v>
      </c>
      <c r="B245" t="s">
        <v>414</v>
      </c>
      <c r="C245">
        <v>47</v>
      </c>
      <c r="D245">
        <v>4633</v>
      </c>
      <c r="E245" s="1">
        <v>21</v>
      </c>
      <c r="F245">
        <v>2011</v>
      </c>
      <c r="G245" t="s">
        <v>9</v>
      </c>
      <c r="H245" s="1">
        <f>bestsellers_with_categories[[#This Row],[Reviews]]*bestsellers_with_categories[[#This Row],[Price]]</f>
        <v>97293</v>
      </c>
      <c r="I245" t="str">
        <f>IF(bestsellers_with_categories[[#This Row],[User Rating]]&gt;40,"recommended","not recommended")</f>
        <v>recommended</v>
      </c>
    </row>
    <row r="246" spans="1:9" x14ac:dyDescent="0.3">
      <c r="A246" t="s">
        <v>457</v>
      </c>
      <c r="B246" t="s">
        <v>458</v>
      </c>
      <c r="C246">
        <v>48</v>
      </c>
      <c r="D246">
        <v>13871</v>
      </c>
      <c r="E246" s="1">
        <v>7</v>
      </c>
      <c r="F246">
        <v>2011</v>
      </c>
      <c r="G246" t="s">
        <v>12</v>
      </c>
      <c r="H246" s="1">
        <f>bestsellers_with_categories[[#This Row],[Reviews]]*bestsellers_with_categories[[#This Row],[Price]]</f>
        <v>97097</v>
      </c>
      <c r="I246" t="str">
        <f>IF(bestsellers_with_categories[[#This Row],[User Rating]]&gt;40,"recommended","not recommended")</f>
        <v>recommended</v>
      </c>
    </row>
    <row r="247" spans="1:9" x14ac:dyDescent="0.3">
      <c r="A247" t="s">
        <v>382</v>
      </c>
      <c r="B247" t="s">
        <v>383</v>
      </c>
      <c r="C247">
        <v>43</v>
      </c>
      <c r="D247">
        <v>4587</v>
      </c>
      <c r="E247" s="1">
        <v>21</v>
      </c>
      <c r="F247">
        <v>2011</v>
      </c>
      <c r="G247" t="s">
        <v>9</v>
      </c>
      <c r="H247" s="1">
        <f>bestsellers_with_categories[[#This Row],[Reviews]]*bestsellers_with_categories[[#This Row],[Price]]</f>
        <v>96327</v>
      </c>
      <c r="I247" t="str">
        <f>IF(bestsellers_with_categories[[#This Row],[User Rating]]&gt;40,"recommended","not recommended")</f>
        <v>recommended</v>
      </c>
    </row>
    <row r="248" spans="1:9" x14ac:dyDescent="0.3">
      <c r="A248" t="s">
        <v>248</v>
      </c>
      <c r="B248" t="s">
        <v>249</v>
      </c>
      <c r="C248">
        <v>44</v>
      </c>
      <c r="D248">
        <v>7396</v>
      </c>
      <c r="E248" s="1">
        <v>13</v>
      </c>
      <c r="F248">
        <v>2018</v>
      </c>
      <c r="G248" t="s">
        <v>9</v>
      </c>
      <c r="H248" s="1">
        <f>bestsellers_with_categories[[#This Row],[Reviews]]*bestsellers_with_categories[[#This Row],[Price]]</f>
        <v>96148</v>
      </c>
      <c r="I248" t="str">
        <f>IF(bestsellers_with_categories[[#This Row],[User Rating]]&gt;40,"recommended","not recommended")</f>
        <v>recommended</v>
      </c>
    </row>
    <row r="249" spans="1:9" x14ac:dyDescent="0.3">
      <c r="A249" t="s">
        <v>248</v>
      </c>
      <c r="B249" t="s">
        <v>249</v>
      </c>
      <c r="C249">
        <v>44</v>
      </c>
      <c r="D249">
        <v>7396</v>
      </c>
      <c r="E249" s="1">
        <v>13</v>
      </c>
      <c r="F249">
        <v>2019</v>
      </c>
      <c r="G249" t="s">
        <v>9</v>
      </c>
      <c r="H249" s="1">
        <f>bestsellers_with_categories[[#This Row],[Reviews]]*bestsellers_with_categories[[#This Row],[Price]]</f>
        <v>96148</v>
      </c>
      <c r="I249" t="str">
        <f>IF(bestsellers_with_categories[[#This Row],[User Rating]]&gt;40,"recommended","not recommended")</f>
        <v>recommended</v>
      </c>
    </row>
    <row r="250" spans="1:9" x14ac:dyDescent="0.3">
      <c r="A250" t="s">
        <v>242</v>
      </c>
      <c r="B250" t="s">
        <v>243</v>
      </c>
      <c r="C250">
        <v>44</v>
      </c>
      <c r="D250">
        <v>4571</v>
      </c>
      <c r="E250" s="1">
        <v>21</v>
      </c>
      <c r="F250">
        <v>2011</v>
      </c>
      <c r="G250" t="s">
        <v>9</v>
      </c>
      <c r="H250" s="1">
        <f>bestsellers_with_categories[[#This Row],[Reviews]]*bestsellers_with_categories[[#This Row],[Price]]</f>
        <v>95991</v>
      </c>
      <c r="I250" t="str">
        <f>IF(bestsellers_with_categories[[#This Row],[User Rating]]&gt;40,"recommended","not recommended")</f>
        <v>recommended</v>
      </c>
    </row>
    <row r="251" spans="1:9" x14ac:dyDescent="0.3">
      <c r="A251" t="s">
        <v>212</v>
      </c>
      <c r="B251" t="s">
        <v>153</v>
      </c>
      <c r="C251">
        <v>49</v>
      </c>
      <c r="D251">
        <v>3146</v>
      </c>
      <c r="E251" s="1">
        <v>30</v>
      </c>
      <c r="F251">
        <v>2017</v>
      </c>
      <c r="G251" t="s">
        <v>12</v>
      </c>
      <c r="H251" s="1">
        <f>bestsellers_with_categories[[#This Row],[Reviews]]*bestsellers_with_categories[[#This Row],[Price]]</f>
        <v>94380</v>
      </c>
      <c r="I251" t="str">
        <f>IF(bestsellers_with_categories[[#This Row],[User Rating]]&gt;40,"recommended","not recommended")</f>
        <v>recommended</v>
      </c>
    </row>
    <row r="252" spans="1:9" x14ac:dyDescent="0.3">
      <c r="A252" t="s">
        <v>261</v>
      </c>
      <c r="B252" t="s">
        <v>259</v>
      </c>
      <c r="C252">
        <v>47</v>
      </c>
      <c r="D252">
        <v>9342</v>
      </c>
      <c r="E252" s="1">
        <v>10</v>
      </c>
      <c r="F252">
        <v>2011</v>
      </c>
      <c r="G252" t="s">
        <v>9</v>
      </c>
      <c r="H252" s="1">
        <f>bestsellers_with_categories[[#This Row],[Reviews]]*bestsellers_with_categories[[#This Row],[Price]]</f>
        <v>93420</v>
      </c>
      <c r="I252" t="str">
        <f>IF(bestsellers_with_categories[[#This Row],[User Rating]]&gt;40,"recommended","not recommended")</f>
        <v>recommended</v>
      </c>
    </row>
    <row r="253" spans="1:9" x14ac:dyDescent="0.3">
      <c r="A253" t="s">
        <v>261</v>
      </c>
      <c r="B253" t="s">
        <v>259</v>
      </c>
      <c r="C253">
        <v>47</v>
      </c>
      <c r="D253">
        <v>9342</v>
      </c>
      <c r="E253" s="1">
        <v>10</v>
      </c>
      <c r="F253">
        <v>2012</v>
      </c>
      <c r="G253" t="s">
        <v>9</v>
      </c>
      <c r="H253" s="1">
        <f>bestsellers_with_categories[[#This Row],[Reviews]]*bestsellers_with_categories[[#This Row],[Price]]</f>
        <v>93420</v>
      </c>
      <c r="I253" t="str">
        <f>IF(bestsellers_with_categories[[#This Row],[User Rating]]&gt;40,"recommended","not recommended")</f>
        <v>recommended</v>
      </c>
    </row>
    <row r="254" spans="1:9" x14ac:dyDescent="0.3">
      <c r="A254" t="s">
        <v>292</v>
      </c>
      <c r="B254" t="s">
        <v>293</v>
      </c>
      <c r="C254">
        <v>48</v>
      </c>
      <c r="D254">
        <v>18613</v>
      </c>
      <c r="E254" s="1">
        <v>5</v>
      </c>
      <c r="F254">
        <v>2014</v>
      </c>
      <c r="G254" t="s">
        <v>12</v>
      </c>
      <c r="H254" s="1">
        <f>bestsellers_with_categories[[#This Row],[Reviews]]*bestsellers_with_categories[[#This Row],[Price]]</f>
        <v>93065</v>
      </c>
      <c r="I254" t="str">
        <f>IF(bestsellers_with_categories[[#This Row],[User Rating]]&gt;40,"recommended","not recommended")</f>
        <v>recommended</v>
      </c>
    </row>
    <row r="255" spans="1:9" x14ac:dyDescent="0.3">
      <c r="A255" t="s">
        <v>292</v>
      </c>
      <c r="B255" t="s">
        <v>293</v>
      </c>
      <c r="C255">
        <v>48</v>
      </c>
      <c r="D255">
        <v>18613</v>
      </c>
      <c r="E255" s="1">
        <v>5</v>
      </c>
      <c r="F255">
        <v>2015</v>
      </c>
      <c r="G255" t="s">
        <v>12</v>
      </c>
      <c r="H255" s="1">
        <f>bestsellers_with_categories[[#This Row],[Reviews]]*bestsellers_with_categories[[#This Row],[Price]]</f>
        <v>93065</v>
      </c>
      <c r="I255" t="str">
        <f>IF(bestsellers_with_categories[[#This Row],[User Rating]]&gt;40,"recommended","not recommended")</f>
        <v>recommended</v>
      </c>
    </row>
    <row r="256" spans="1:9" x14ac:dyDescent="0.3">
      <c r="A256" t="s">
        <v>17</v>
      </c>
      <c r="B256" t="s">
        <v>18</v>
      </c>
      <c r="C256">
        <v>48</v>
      </c>
      <c r="D256">
        <v>7665</v>
      </c>
      <c r="E256" s="1">
        <v>12</v>
      </c>
      <c r="F256">
        <v>2019</v>
      </c>
      <c r="G256" t="s">
        <v>9</v>
      </c>
      <c r="H256" s="1">
        <f>bestsellers_with_categories[[#This Row],[Reviews]]*bestsellers_with_categories[[#This Row],[Price]]</f>
        <v>91980</v>
      </c>
      <c r="I256" t="str">
        <f>IF(bestsellers_with_categories[[#This Row],[User Rating]]&gt;40,"recommended","not recommended")</f>
        <v>recommended</v>
      </c>
    </row>
    <row r="257" spans="1:9" x14ac:dyDescent="0.3">
      <c r="A257" t="s">
        <v>179</v>
      </c>
      <c r="B257" t="s">
        <v>180</v>
      </c>
      <c r="C257">
        <v>46</v>
      </c>
      <c r="D257">
        <v>7660</v>
      </c>
      <c r="E257" s="1">
        <v>12</v>
      </c>
      <c r="F257">
        <v>2019</v>
      </c>
      <c r="G257" t="s">
        <v>9</v>
      </c>
      <c r="H257" s="1">
        <f>bestsellers_with_categories[[#This Row],[Reviews]]*bestsellers_with_categories[[#This Row],[Price]]</f>
        <v>91920</v>
      </c>
      <c r="I257" t="str">
        <f>IF(bestsellers_with_categories[[#This Row],[User Rating]]&gt;40,"recommended","not recommended")</f>
        <v>recommended</v>
      </c>
    </row>
    <row r="258" spans="1:9" x14ac:dyDescent="0.3">
      <c r="A258" t="s">
        <v>560</v>
      </c>
      <c r="B258" t="s">
        <v>383</v>
      </c>
      <c r="C258">
        <v>46</v>
      </c>
      <c r="D258">
        <v>4360</v>
      </c>
      <c r="E258" s="1">
        <v>21</v>
      </c>
      <c r="F258">
        <v>2017</v>
      </c>
      <c r="G258" t="s">
        <v>9</v>
      </c>
      <c r="H258" s="1">
        <f>bestsellers_with_categories[[#This Row],[Reviews]]*bestsellers_with_categories[[#This Row],[Price]]</f>
        <v>91560</v>
      </c>
      <c r="I258" t="str">
        <f>IF(bestsellers_with_categories[[#This Row],[User Rating]]&gt;40,"recommended","not recommended")</f>
        <v>recommended</v>
      </c>
    </row>
    <row r="259" spans="1:9" x14ac:dyDescent="0.3">
      <c r="A259" t="s">
        <v>533</v>
      </c>
      <c r="B259" t="s">
        <v>534</v>
      </c>
      <c r="C259">
        <v>47</v>
      </c>
      <c r="D259">
        <v>9030</v>
      </c>
      <c r="E259" s="1">
        <v>10</v>
      </c>
      <c r="F259">
        <v>2019</v>
      </c>
      <c r="G259" t="s">
        <v>9</v>
      </c>
      <c r="H259" s="1">
        <f>bestsellers_with_categories[[#This Row],[Reviews]]*bestsellers_with_categories[[#This Row],[Price]]</f>
        <v>90300</v>
      </c>
      <c r="I259" t="str">
        <f>IF(bestsellers_with_categories[[#This Row],[User Rating]]&gt;40,"recommended","not recommended")</f>
        <v>recommended</v>
      </c>
    </row>
    <row r="260" spans="1:9" x14ac:dyDescent="0.3">
      <c r="A260" t="s">
        <v>539</v>
      </c>
      <c r="B260" t="s">
        <v>540</v>
      </c>
      <c r="C260">
        <v>49</v>
      </c>
      <c r="D260">
        <v>8842</v>
      </c>
      <c r="E260" s="1">
        <v>10</v>
      </c>
      <c r="F260">
        <v>2016</v>
      </c>
      <c r="G260" t="s">
        <v>12</v>
      </c>
      <c r="H260" s="1">
        <f>bestsellers_with_categories[[#This Row],[Reviews]]*bestsellers_with_categories[[#This Row],[Price]]</f>
        <v>88420</v>
      </c>
      <c r="I260" t="str">
        <f>IF(bestsellers_with_categories[[#This Row],[User Rating]]&gt;40,"recommended","not recommended")</f>
        <v>recommended</v>
      </c>
    </row>
    <row r="261" spans="1:9" x14ac:dyDescent="0.3">
      <c r="A261" t="s">
        <v>539</v>
      </c>
      <c r="B261" t="s">
        <v>540</v>
      </c>
      <c r="C261">
        <v>49</v>
      </c>
      <c r="D261">
        <v>8842</v>
      </c>
      <c r="E261" s="1">
        <v>10</v>
      </c>
      <c r="F261">
        <v>2017</v>
      </c>
      <c r="G261" t="s">
        <v>12</v>
      </c>
      <c r="H261" s="1">
        <f>bestsellers_with_categories[[#This Row],[Reviews]]*bestsellers_with_categories[[#This Row],[Price]]</f>
        <v>88420</v>
      </c>
      <c r="I261" t="str">
        <f>IF(bestsellers_with_categories[[#This Row],[User Rating]]&gt;40,"recommended","not recommended")</f>
        <v>recommended</v>
      </c>
    </row>
    <row r="262" spans="1:9" x14ac:dyDescent="0.3">
      <c r="A262" t="s">
        <v>539</v>
      </c>
      <c r="B262" t="s">
        <v>540</v>
      </c>
      <c r="C262">
        <v>49</v>
      </c>
      <c r="D262">
        <v>8842</v>
      </c>
      <c r="E262" s="1">
        <v>10</v>
      </c>
      <c r="F262">
        <v>2018</v>
      </c>
      <c r="G262" t="s">
        <v>12</v>
      </c>
      <c r="H262" s="1">
        <f>bestsellers_with_categories[[#This Row],[Reviews]]*bestsellers_with_categories[[#This Row],[Price]]</f>
        <v>88420</v>
      </c>
      <c r="I262" t="str">
        <f>IF(bestsellers_with_categories[[#This Row],[User Rating]]&gt;40,"recommended","not recommended")</f>
        <v>recommended</v>
      </c>
    </row>
    <row r="263" spans="1:9" x14ac:dyDescent="0.3">
      <c r="A263" t="s">
        <v>539</v>
      </c>
      <c r="B263" t="s">
        <v>540</v>
      </c>
      <c r="C263">
        <v>49</v>
      </c>
      <c r="D263">
        <v>8842</v>
      </c>
      <c r="E263" s="1">
        <v>10</v>
      </c>
      <c r="F263">
        <v>2019</v>
      </c>
      <c r="G263" t="s">
        <v>12</v>
      </c>
      <c r="H263" s="1">
        <f>bestsellers_with_categories[[#This Row],[Reviews]]*bestsellers_with_categories[[#This Row],[Price]]</f>
        <v>88420</v>
      </c>
      <c r="I263" t="str">
        <f>IF(bestsellers_with_categories[[#This Row],[User Rating]]&gt;40,"recommended","not recommended")</f>
        <v>recommended</v>
      </c>
    </row>
    <row r="264" spans="1:9" x14ac:dyDescent="0.3">
      <c r="A264" t="s">
        <v>309</v>
      </c>
      <c r="B264" t="s">
        <v>310</v>
      </c>
      <c r="C264">
        <v>48</v>
      </c>
      <c r="D264">
        <v>7866</v>
      </c>
      <c r="E264" s="1">
        <v>11</v>
      </c>
      <c r="F264">
        <v>2019</v>
      </c>
      <c r="G264" t="s">
        <v>9</v>
      </c>
      <c r="H264" s="1">
        <f>bestsellers_with_categories[[#This Row],[Reviews]]*bestsellers_with_categories[[#This Row],[Price]]</f>
        <v>86526</v>
      </c>
      <c r="I264" t="str">
        <f>IF(bestsellers_with_categories[[#This Row],[User Rating]]&gt;40,"recommended","not recommended")</f>
        <v>recommended</v>
      </c>
    </row>
    <row r="265" spans="1:9" x14ac:dyDescent="0.3">
      <c r="A265" t="s">
        <v>370</v>
      </c>
      <c r="B265" t="s">
        <v>371</v>
      </c>
      <c r="C265">
        <v>4</v>
      </c>
      <c r="D265" s="12">
        <v>5069</v>
      </c>
      <c r="E265" s="1">
        <v>17</v>
      </c>
      <c r="F265">
        <v>2009</v>
      </c>
      <c r="G265" s="11" t="s">
        <v>9</v>
      </c>
      <c r="H265" s="1">
        <f>bestsellers_with_categories[[#This Row],[Reviews]]*bestsellers_with_categories[[#This Row],[Price]]</f>
        <v>86173</v>
      </c>
      <c r="I265" t="str">
        <f>IF(bestsellers_with_categories[[#This Row],[User Rating]]&gt;40,"recommended","not recommended")</f>
        <v>not recommended</v>
      </c>
    </row>
    <row r="266" spans="1:9" x14ac:dyDescent="0.3">
      <c r="A266" t="s">
        <v>370</v>
      </c>
      <c r="B266" t="s">
        <v>371</v>
      </c>
      <c r="C266">
        <v>4</v>
      </c>
      <c r="D266">
        <v>5069</v>
      </c>
      <c r="E266" s="1">
        <v>17</v>
      </c>
      <c r="F266">
        <v>2010</v>
      </c>
      <c r="G266" t="s">
        <v>9</v>
      </c>
      <c r="H266" s="1">
        <f>bestsellers_with_categories[[#This Row],[Reviews]]*bestsellers_with_categories[[#This Row],[Price]]</f>
        <v>86173</v>
      </c>
      <c r="I266" t="str">
        <f>IF(bestsellers_with_categories[[#This Row],[User Rating]]&gt;40,"recommended","not recommended")</f>
        <v>not recommended</v>
      </c>
    </row>
    <row r="267" spans="1:9" x14ac:dyDescent="0.3">
      <c r="A267" t="s">
        <v>370</v>
      </c>
      <c r="B267" t="s">
        <v>371</v>
      </c>
      <c r="C267">
        <v>4</v>
      </c>
      <c r="D267">
        <v>5069</v>
      </c>
      <c r="E267" s="1">
        <v>17</v>
      </c>
      <c r="F267">
        <v>2011</v>
      </c>
      <c r="G267" t="s">
        <v>9</v>
      </c>
      <c r="H267" s="1">
        <f>bestsellers_with_categories[[#This Row],[Reviews]]*bestsellers_with_categories[[#This Row],[Price]]</f>
        <v>86173</v>
      </c>
      <c r="I267" t="str">
        <f>IF(bestsellers_with_categories[[#This Row],[User Rating]]&gt;40,"recommended","not recommended")</f>
        <v>not recommended</v>
      </c>
    </row>
    <row r="268" spans="1:9" x14ac:dyDescent="0.3">
      <c r="A268" t="s">
        <v>370</v>
      </c>
      <c r="B268" t="s">
        <v>371</v>
      </c>
      <c r="C268">
        <v>4</v>
      </c>
      <c r="D268">
        <v>5069</v>
      </c>
      <c r="E268" s="1">
        <v>17</v>
      </c>
      <c r="F268">
        <v>2012</v>
      </c>
      <c r="G268" t="s">
        <v>9</v>
      </c>
      <c r="H268" s="1">
        <f>bestsellers_with_categories[[#This Row],[Reviews]]*bestsellers_with_categories[[#This Row],[Price]]</f>
        <v>86173</v>
      </c>
      <c r="I268" t="str">
        <f>IF(bestsellers_with_categories[[#This Row],[User Rating]]&gt;40,"recommended","not recommended")</f>
        <v>not recommended</v>
      </c>
    </row>
    <row r="269" spans="1:9" x14ac:dyDescent="0.3">
      <c r="A269" t="s">
        <v>370</v>
      </c>
      <c r="B269" t="s">
        <v>371</v>
      </c>
      <c r="C269">
        <v>4</v>
      </c>
      <c r="D269">
        <v>5069</v>
      </c>
      <c r="E269" s="1">
        <v>17</v>
      </c>
      <c r="F269">
        <v>2013</v>
      </c>
      <c r="G269" t="s">
        <v>9</v>
      </c>
      <c r="H269" s="1">
        <f>bestsellers_with_categories[[#This Row],[Reviews]]*bestsellers_with_categories[[#This Row],[Price]]</f>
        <v>86173</v>
      </c>
      <c r="I269" t="str">
        <f>IF(bestsellers_with_categories[[#This Row],[User Rating]]&gt;40,"recommended","not recommended")</f>
        <v>not recommended</v>
      </c>
    </row>
    <row r="270" spans="1:9" x14ac:dyDescent="0.3">
      <c r="A270" t="s">
        <v>370</v>
      </c>
      <c r="B270" t="s">
        <v>371</v>
      </c>
      <c r="C270">
        <v>4</v>
      </c>
      <c r="D270">
        <v>5069</v>
      </c>
      <c r="E270" s="1">
        <v>17</v>
      </c>
      <c r="F270">
        <v>2014</v>
      </c>
      <c r="G270" t="s">
        <v>9</v>
      </c>
      <c r="H270" s="1">
        <f>bestsellers_with_categories[[#This Row],[Reviews]]*bestsellers_with_categories[[#This Row],[Price]]</f>
        <v>86173</v>
      </c>
      <c r="I270" t="str">
        <f>IF(bestsellers_with_categories[[#This Row],[User Rating]]&gt;40,"recommended","not recommended")</f>
        <v>not recommended</v>
      </c>
    </row>
    <row r="271" spans="1:9" x14ac:dyDescent="0.3">
      <c r="A271" t="s">
        <v>370</v>
      </c>
      <c r="B271" t="s">
        <v>371</v>
      </c>
      <c r="C271">
        <v>4</v>
      </c>
      <c r="D271">
        <v>5069</v>
      </c>
      <c r="E271" s="1">
        <v>17</v>
      </c>
      <c r="F271">
        <v>2015</v>
      </c>
      <c r="G271" t="s">
        <v>9</v>
      </c>
      <c r="H271" s="1">
        <f>bestsellers_with_categories[[#This Row],[Reviews]]*bestsellers_with_categories[[#This Row],[Price]]</f>
        <v>86173</v>
      </c>
      <c r="I271" t="str">
        <f>IF(bestsellers_with_categories[[#This Row],[User Rating]]&gt;40,"recommended","not recommended")</f>
        <v>not recommended</v>
      </c>
    </row>
    <row r="272" spans="1:9" x14ac:dyDescent="0.3">
      <c r="A272" t="s">
        <v>370</v>
      </c>
      <c r="B272" t="s">
        <v>371</v>
      </c>
      <c r="C272">
        <v>4</v>
      </c>
      <c r="D272">
        <v>5069</v>
      </c>
      <c r="E272" s="1">
        <v>17</v>
      </c>
      <c r="F272">
        <v>2016</v>
      </c>
      <c r="G272" t="s">
        <v>9</v>
      </c>
      <c r="H272" s="1">
        <f>bestsellers_with_categories[[#This Row],[Reviews]]*bestsellers_with_categories[[#This Row],[Price]]</f>
        <v>86173</v>
      </c>
      <c r="I272" t="str">
        <f>IF(bestsellers_with_categories[[#This Row],[User Rating]]&gt;40,"recommended","not recommended")</f>
        <v>not recommended</v>
      </c>
    </row>
    <row r="273" spans="1:9" x14ac:dyDescent="0.3">
      <c r="A273" t="s">
        <v>370</v>
      </c>
      <c r="B273" t="s">
        <v>371</v>
      </c>
      <c r="C273">
        <v>4</v>
      </c>
      <c r="D273">
        <v>5069</v>
      </c>
      <c r="E273" s="1">
        <v>17</v>
      </c>
      <c r="F273">
        <v>2017</v>
      </c>
      <c r="G273" t="s">
        <v>9</v>
      </c>
      <c r="H273" s="1">
        <f>bestsellers_with_categories[[#This Row],[Reviews]]*bestsellers_with_categories[[#This Row],[Price]]</f>
        <v>86173</v>
      </c>
      <c r="I273" t="str">
        <f>IF(bestsellers_with_categories[[#This Row],[User Rating]]&gt;40,"recommended","not recommended")</f>
        <v>not recommended</v>
      </c>
    </row>
    <row r="274" spans="1:9" x14ac:dyDescent="0.3">
      <c r="A274" t="s">
        <v>185</v>
      </c>
      <c r="B274" t="s">
        <v>186</v>
      </c>
      <c r="C274">
        <v>48</v>
      </c>
      <c r="D274">
        <v>9568</v>
      </c>
      <c r="E274" s="1">
        <v>9</v>
      </c>
      <c r="F274">
        <v>2011</v>
      </c>
      <c r="G274" t="s">
        <v>12</v>
      </c>
      <c r="H274" s="1">
        <f>bestsellers_with_categories[[#This Row],[Reviews]]*bestsellers_with_categories[[#This Row],[Price]]</f>
        <v>86112</v>
      </c>
      <c r="I274" t="str">
        <f>IF(bestsellers_with_categories[[#This Row],[User Rating]]&gt;40,"recommended","not recommended")</f>
        <v>recommended</v>
      </c>
    </row>
    <row r="275" spans="1:9" x14ac:dyDescent="0.3">
      <c r="A275" t="s">
        <v>449</v>
      </c>
      <c r="B275" t="s">
        <v>450</v>
      </c>
      <c r="C275">
        <v>47</v>
      </c>
      <c r="D275" s="12">
        <v>8587</v>
      </c>
      <c r="E275" s="1">
        <v>10</v>
      </c>
      <c r="F275">
        <v>2009</v>
      </c>
      <c r="G275" s="11" t="s">
        <v>12</v>
      </c>
      <c r="H275" s="1">
        <f>bestsellers_with_categories[[#This Row],[Reviews]]*bestsellers_with_categories[[#This Row],[Price]]</f>
        <v>85870</v>
      </c>
      <c r="I275" t="str">
        <f>IF(bestsellers_with_categories[[#This Row],[User Rating]]&gt;40,"recommended","not recommended")</f>
        <v>recommended</v>
      </c>
    </row>
    <row r="276" spans="1:9" x14ac:dyDescent="0.3">
      <c r="A276" t="s">
        <v>349</v>
      </c>
      <c r="B276" t="s">
        <v>350</v>
      </c>
      <c r="C276">
        <v>49</v>
      </c>
      <c r="D276">
        <v>7150</v>
      </c>
      <c r="E276" s="1">
        <v>12</v>
      </c>
      <c r="F276">
        <v>2013</v>
      </c>
      <c r="G276" t="s">
        <v>12</v>
      </c>
      <c r="H276" s="1">
        <f>bestsellers_with_categories[[#This Row],[Reviews]]*bestsellers_with_categories[[#This Row],[Price]]</f>
        <v>85800</v>
      </c>
      <c r="I276" t="str">
        <f>IF(bestsellers_with_categories[[#This Row],[User Rating]]&gt;40,"recommended","not recommended")</f>
        <v>recommended</v>
      </c>
    </row>
    <row r="277" spans="1:9" x14ac:dyDescent="0.3">
      <c r="A277" t="s">
        <v>150</v>
      </c>
      <c r="B277" t="s">
        <v>151</v>
      </c>
      <c r="C277">
        <v>46</v>
      </c>
      <c r="D277">
        <v>10721</v>
      </c>
      <c r="E277" s="1">
        <v>8</v>
      </c>
      <c r="F277">
        <v>2016</v>
      </c>
      <c r="G277" t="s">
        <v>12</v>
      </c>
      <c r="H277" s="1">
        <f>bestsellers_with_categories[[#This Row],[Reviews]]*bestsellers_with_categories[[#This Row],[Price]]</f>
        <v>85768</v>
      </c>
      <c r="I277" t="str">
        <f>IF(bestsellers_with_categories[[#This Row],[User Rating]]&gt;40,"recommended","not recommended")</f>
        <v>recommended</v>
      </c>
    </row>
    <row r="278" spans="1:9" x14ac:dyDescent="0.3">
      <c r="A278" t="s">
        <v>150</v>
      </c>
      <c r="B278" t="s">
        <v>151</v>
      </c>
      <c r="C278">
        <v>46</v>
      </c>
      <c r="D278">
        <v>10721</v>
      </c>
      <c r="E278" s="1">
        <v>8</v>
      </c>
      <c r="F278">
        <v>2018</v>
      </c>
      <c r="G278" t="s">
        <v>12</v>
      </c>
      <c r="H278" s="1">
        <f>bestsellers_with_categories[[#This Row],[Reviews]]*bestsellers_with_categories[[#This Row],[Price]]</f>
        <v>85768</v>
      </c>
      <c r="I278" t="str">
        <f>IF(bestsellers_with_categories[[#This Row],[User Rating]]&gt;40,"recommended","not recommended")</f>
        <v>recommended</v>
      </c>
    </row>
    <row r="279" spans="1:9" x14ac:dyDescent="0.3">
      <c r="A279" t="s">
        <v>307</v>
      </c>
      <c r="B279" t="s">
        <v>308</v>
      </c>
      <c r="C279">
        <v>48</v>
      </c>
      <c r="D279">
        <v>5347</v>
      </c>
      <c r="E279" s="1">
        <v>16</v>
      </c>
      <c r="F279">
        <v>2019</v>
      </c>
      <c r="G279" t="s">
        <v>9</v>
      </c>
      <c r="H279" s="1">
        <f>bestsellers_with_categories[[#This Row],[Reviews]]*bestsellers_with_categories[[#This Row],[Price]]</f>
        <v>85552</v>
      </c>
      <c r="I279" t="str">
        <f>IF(bestsellers_with_categories[[#This Row],[User Rating]]&gt;40,"recommended","not recommended")</f>
        <v>recommended</v>
      </c>
    </row>
    <row r="280" spans="1:9" x14ac:dyDescent="0.3">
      <c r="A280" t="s">
        <v>34</v>
      </c>
      <c r="B280" t="s">
        <v>35</v>
      </c>
      <c r="C280">
        <v>46</v>
      </c>
      <c r="D280" s="12">
        <v>5013</v>
      </c>
      <c r="E280" s="1">
        <v>17</v>
      </c>
      <c r="F280">
        <v>2009</v>
      </c>
      <c r="G280" s="11" t="s">
        <v>9</v>
      </c>
      <c r="H280" s="1">
        <f>bestsellers_with_categories[[#This Row],[Reviews]]*bestsellers_with_categories[[#This Row],[Price]]</f>
        <v>85221</v>
      </c>
      <c r="I280" t="str">
        <f>IF(bestsellers_with_categories[[#This Row],[User Rating]]&gt;40,"recommended","not recommended")</f>
        <v>recommended</v>
      </c>
    </row>
    <row r="281" spans="1:9" x14ac:dyDescent="0.3">
      <c r="A281" t="s">
        <v>250</v>
      </c>
      <c r="B281" t="s">
        <v>251</v>
      </c>
      <c r="C281">
        <v>48</v>
      </c>
      <c r="D281">
        <v>7062</v>
      </c>
      <c r="E281" s="1">
        <v>12</v>
      </c>
      <c r="F281">
        <v>2019</v>
      </c>
      <c r="G281" t="s">
        <v>9</v>
      </c>
      <c r="H281" s="1">
        <f>bestsellers_with_categories[[#This Row],[Reviews]]*bestsellers_with_categories[[#This Row],[Price]]</f>
        <v>84744</v>
      </c>
      <c r="I281" t="str">
        <f>IF(bestsellers_with_categories[[#This Row],[User Rating]]&gt;40,"recommended","not recommended")</f>
        <v>recommended</v>
      </c>
    </row>
    <row r="282" spans="1:9" x14ac:dyDescent="0.3">
      <c r="A282" t="s">
        <v>55</v>
      </c>
      <c r="B282" t="s">
        <v>56</v>
      </c>
      <c r="C282">
        <v>47</v>
      </c>
      <c r="D282">
        <v>9374</v>
      </c>
      <c r="E282" s="1">
        <v>9</v>
      </c>
      <c r="F282">
        <v>2017</v>
      </c>
      <c r="G282" t="s">
        <v>9</v>
      </c>
      <c r="H282" s="1">
        <f>bestsellers_with_categories[[#This Row],[Reviews]]*bestsellers_with_categories[[#This Row],[Price]]</f>
        <v>84366</v>
      </c>
      <c r="I282" t="str">
        <f>IF(bestsellers_with_categories[[#This Row],[User Rating]]&gt;40,"recommended","not recommended")</f>
        <v>recommended</v>
      </c>
    </row>
    <row r="283" spans="1:9" x14ac:dyDescent="0.3">
      <c r="A283" t="s">
        <v>227</v>
      </c>
      <c r="B283" t="s">
        <v>228</v>
      </c>
      <c r="C283">
        <v>43</v>
      </c>
      <c r="D283">
        <v>5272</v>
      </c>
      <c r="E283" s="1">
        <v>16</v>
      </c>
      <c r="F283">
        <v>2019</v>
      </c>
      <c r="G283" t="s">
        <v>9</v>
      </c>
      <c r="H283" s="1">
        <f>bestsellers_with_categories[[#This Row],[Reviews]]*bestsellers_with_categories[[#This Row],[Price]]</f>
        <v>84352</v>
      </c>
      <c r="I283" t="str">
        <f>IF(bestsellers_with_categories[[#This Row],[User Rating]]&gt;40,"recommended","not recommended")</f>
        <v>recommended</v>
      </c>
    </row>
    <row r="284" spans="1:9" x14ac:dyDescent="0.3">
      <c r="A284" t="s">
        <v>358</v>
      </c>
      <c r="B284" t="s">
        <v>149</v>
      </c>
      <c r="C284">
        <v>47</v>
      </c>
      <c r="D284">
        <v>9366</v>
      </c>
      <c r="E284" s="1">
        <v>9</v>
      </c>
      <c r="F284">
        <v>2015</v>
      </c>
      <c r="G284" t="s">
        <v>9</v>
      </c>
      <c r="H284" s="1">
        <f>bestsellers_with_categories[[#This Row],[Reviews]]*bestsellers_with_categories[[#This Row],[Price]]</f>
        <v>84294</v>
      </c>
      <c r="I284" t="str">
        <f>IF(bestsellers_with_categories[[#This Row],[User Rating]]&gt;40,"recommended","not recommended")</f>
        <v>recommended</v>
      </c>
    </row>
    <row r="285" spans="1:9" x14ac:dyDescent="0.3">
      <c r="A285" t="s">
        <v>463</v>
      </c>
      <c r="B285" t="s">
        <v>464</v>
      </c>
      <c r="C285">
        <v>47</v>
      </c>
      <c r="D285">
        <v>9289</v>
      </c>
      <c r="E285" s="1">
        <v>9</v>
      </c>
      <c r="F285">
        <v>2011</v>
      </c>
      <c r="G285" t="s">
        <v>9</v>
      </c>
      <c r="H285" s="1">
        <f>bestsellers_with_categories[[#This Row],[Reviews]]*bestsellers_with_categories[[#This Row],[Price]]</f>
        <v>83601</v>
      </c>
      <c r="I285" t="str">
        <f>IF(bestsellers_with_categories[[#This Row],[User Rating]]&gt;40,"recommended","not recommended")</f>
        <v>recommended</v>
      </c>
    </row>
    <row r="286" spans="1:9" x14ac:dyDescent="0.3">
      <c r="A286" t="s">
        <v>463</v>
      </c>
      <c r="B286" t="s">
        <v>464</v>
      </c>
      <c r="C286">
        <v>47</v>
      </c>
      <c r="D286">
        <v>9289</v>
      </c>
      <c r="E286" s="1">
        <v>9</v>
      </c>
      <c r="F286">
        <v>2012</v>
      </c>
      <c r="G286" t="s">
        <v>9</v>
      </c>
      <c r="H286" s="1">
        <f>bestsellers_with_categories[[#This Row],[Reviews]]*bestsellers_with_categories[[#This Row],[Price]]</f>
        <v>83601</v>
      </c>
      <c r="I286" t="str">
        <f>IF(bestsellers_with_categories[[#This Row],[User Rating]]&gt;40,"recommended","not recommended")</f>
        <v>recommended</v>
      </c>
    </row>
    <row r="287" spans="1:9" x14ac:dyDescent="0.3">
      <c r="A287" t="s">
        <v>232</v>
      </c>
      <c r="B287" t="s">
        <v>233</v>
      </c>
      <c r="C287">
        <v>47</v>
      </c>
      <c r="D287">
        <v>4896</v>
      </c>
      <c r="E287" s="1">
        <v>17</v>
      </c>
      <c r="F287">
        <v>2013</v>
      </c>
      <c r="G287" t="s">
        <v>9</v>
      </c>
      <c r="H287" s="1">
        <f>bestsellers_with_categories[[#This Row],[Reviews]]*bestsellers_with_categories[[#This Row],[Price]]</f>
        <v>83232</v>
      </c>
      <c r="I287" t="str">
        <f>IF(bestsellers_with_categories[[#This Row],[User Rating]]&gt;40,"recommended","not recommended")</f>
        <v>recommended</v>
      </c>
    </row>
    <row r="288" spans="1:9" x14ac:dyDescent="0.3">
      <c r="A288" t="s">
        <v>457</v>
      </c>
      <c r="B288" t="s">
        <v>458</v>
      </c>
      <c r="C288">
        <v>48</v>
      </c>
      <c r="D288" s="12">
        <v>13871</v>
      </c>
      <c r="E288" s="1">
        <v>6</v>
      </c>
      <c r="F288">
        <v>2009</v>
      </c>
      <c r="G288" s="11" t="s">
        <v>12</v>
      </c>
      <c r="H288" s="1">
        <f>bestsellers_with_categories[[#This Row],[Reviews]]*bestsellers_with_categories[[#This Row],[Price]]</f>
        <v>83226</v>
      </c>
      <c r="I288" t="str">
        <f>IF(bestsellers_with_categories[[#This Row],[User Rating]]&gt;40,"recommended","not recommended")</f>
        <v>recommended</v>
      </c>
    </row>
    <row r="289" spans="1:9" x14ac:dyDescent="0.3">
      <c r="A289" t="s">
        <v>457</v>
      </c>
      <c r="B289" t="s">
        <v>458</v>
      </c>
      <c r="C289">
        <v>48</v>
      </c>
      <c r="D289">
        <v>13871</v>
      </c>
      <c r="E289" s="1">
        <v>6</v>
      </c>
      <c r="F289">
        <v>2010</v>
      </c>
      <c r="G289" t="s">
        <v>12</v>
      </c>
      <c r="H289" s="1">
        <f>bestsellers_with_categories[[#This Row],[Reviews]]*bestsellers_with_categories[[#This Row],[Price]]</f>
        <v>83226</v>
      </c>
      <c r="I289" t="str">
        <f>IF(bestsellers_with_categories[[#This Row],[User Rating]]&gt;40,"recommended","not recommended")</f>
        <v>recommended</v>
      </c>
    </row>
    <row r="290" spans="1:9" x14ac:dyDescent="0.3">
      <c r="A290" t="s">
        <v>223</v>
      </c>
      <c r="B290" t="s">
        <v>224</v>
      </c>
      <c r="C290">
        <v>48</v>
      </c>
      <c r="D290">
        <v>3776</v>
      </c>
      <c r="E290" s="1">
        <v>22</v>
      </c>
      <c r="F290">
        <v>2018</v>
      </c>
      <c r="G290" t="s">
        <v>9</v>
      </c>
      <c r="H290" s="1">
        <f>bestsellers_with_categories[[#This Row],[Reviews]]*bestsellers_with_categories[[#This Row],[Price]]</f>
        <v>83072</v>
      </c>
      <c r="I290" t="str">
        <f>IF(bestsellers_with_categories[[#This Row],[User Rating]]&gt;40,"recommended","not recommended")</f>
        <v>recommended</v>
      </c>
    </row>
    <row r="291" spans="1:9" x14ac:dyDescent="0.3">
      <c r="A291" t="s">
        <v>161</v>
      </c>
      <c r="B291" t="s">
        <v>162</v>
      </c>
      <c r="C291">
        <v>42</v>
      </c>
      <c r="D291">
        <v>13677</v>
      </c>
      <c r="E291" s="1">
        <v>6</v>
      </c>
      <c r="F291">
        <v>2018</v>
      </c>
      <c r="G291" t="s">
        <v>9</v>
      </c>
      <c r="H291" s="1">
        <f>bestsellers_with_categories[[#This Row],[Reviews]]*bestsellers_with_categories[[#This Row],[Price]]</f>
        <v>82062</v>
      </c>
      <c r="I291" t="str">
        <f>IF(bestsellers_with_categories[[#This Row],[User Rating]]&gt;40,"recommended","not recommended")</f>
        <v>recommended</v>
      </c>
    </row>
    <row r="292" spans="1:9" x14ac:dyDescent="0.3">
      <c r="A292" t="s">
        <v>47</v>
      </c>
      <c r="B292" t="s">
        <v>48</v>
      </c>
      <c r="C292">
        <v>39</v>
      </c>
      <c r="D292">
        <v>6310</v>
      </c>
      <c r="E292" s="1">
        <v>13</v>
      </c>
      <c r="F292">
        <v>2013</v>
      </c>
      <c r="G292" t="s">
        <v>12</v>
      </c>
      <c r="H292" s="1">
        <f>bestsellers_with_categories[[#This Row],[Reviews]]*bestsellers_with_categories[[#This Row],[Price]]</f>
        <v>82030</v>
      </c>
      <c r="I292" t="str">
        <f>IF(bestsellers_with_categories[[#This Row],[User Rating]]&gt;40,"recommended","not recommended")</f>
        <v>not recommended</v>
      </c>
    </row>
    <row r="293" spans="1:9" x14ac:dyDescent="0.3">
      <c r="A293" t="s">
        <v>446</v>
      </c>
      <c r="B293" t="s">
        <v>447</v>
      </c>
      <c r="C293">
        <v>44</v>
      </c>
      <c r="D293">
        <v>11616</v>
      </c>
      <c r="E293" s="1">
        <v>7</v>
      </c>
      <c r="F293">
        <v>2012</v>
      </c>
      <c r="G293" t="s">
        <v>12</v>
      </c>
      <c r="H293" s="1">
        <f>bestsellers_with_categories[[#This Row],[Reviews]]*bestsellers_with_categories[[#This Row],[Price]]</f>
        <v>81312</v>
      </c>
      <c r="I293" t="str">
        <f>IF(bestsellers_with_categories[[#This Row],[User Rating]]&gt;40,"recommended","not recommended")</f>
        <v>recommended</v>
      </c>
    </row>
    <row r="294" spans="1:9" x14ac:dyDescent="0.3">
      <c r="A294" t="s">
        <v>446</v>
      </c>
      <c r="B294" t="s">
        <v>447</v>
      </c>
      <c r="C294">
        <v>44</v>
      </c>
      <c r="D294">
        <v>11616</v>
      </c>
      <c r="E294" s="1">
        <v>7</v>
      </c>
      <c r="F294">
        <v>2013</v>
      </c>
      <c r="G294" t="s">
        <v>12</v>
      </c>
      <c r="H294" s="1">
        <f>bestsellers_with_categories[[#This Row],[Reviews]]*bestsellers_with_categories[[#This Row],[Price]]</f>
        <v>81312</v>
      </c>
      <c r="I294" t="str">
        <f>IF(bestsellers_with_categories[[#This Row],[User Rating]]&gt;40,"recommended","not recommended")</f>
        <v>recommended</v>
      </c>
    </row>
    <row r="295" spans="1:9" x14ac:dyDescent="0.3">
      <c r="A295" t="s">
        <v>446</v>
      </c>
      <c r="B295" t="s">
        <v>447</v>
      </c>
      <c r="C295">
        <v>44</v>
      </c>
      <c r="D295">
        <v>11616</v>
      </c>
      <c r="E295" s="1">
        <v>7</v>
      </c>
      <c r="F295">
        <v>2014</v>
      </c>
      <c r="G295" t="s">
        <v>12</v>
      </c>
      <c r="H295" s="1">
        <f>bestsellers_with_categories[[#This Row],[Reviews]]*bestsellers_with_categories[[#This Row],[Price]]</f>
        <v>81312</v>
      </c>
      <c r="I295" t="str">
        <f>IF(bestsellers_with_categories[[#This Row],[User Rating]]&gt;40,"recommended","not recommended")</f>
        <v>recommended</v>
      </c>
    </row>
    <row r="296" spans="1:9" x14ac:dyDescent="0.3">
      <c r="A296" t="s">
        <v>486</v>
      </c>
      <c r="B296" t="s">
        <v>487</v>
      </c>
      <c r="C296">
        <v>45</v>
      </c>
      <c r="D296">
        <v>10101</v>
      </c>
      <c r="E296" s="1">
        <v>8</v>
      </c>
      <c r="F296">
        <v>2014</v>
      </c>
      <c r="G296" t="s">
        <v>12</v>
      </c>
      <c r="H296" s="1">
        <f>bestsellers_with_categories[[#This Row],[Reviews]]*bestsellers_with_categories[[#This Row],[Price]]</f>
        <v>80808</v>
      </c>
      <c r="I296" t="str">
        <f>IF(bestsellers_with_categories[[#This Row],[User Rating]]&gt;40,"recommended","not recommended")</f>
        <v>recommended</v>
      </c>
    </row>
    <row r="297" spans="1:9" x14ac:dyDescent="0.3">
      <c r="A297" t="s">
        <v>85</v>
      </c>
      <c r="B297" t="s">
        <v>86</v>
      </c>
      <c r="C297">
        <v>45</v>
      </c>
      <c r="D297">
        <v>2884</v>
      </c>
      <c r="E297" s="1">
        <v>28</v>
      </c>
      <c r="F297">
        <v>2014</v>
      </c>
      <c r="G297" t="s">
        <v>9</v>
      </c>
      <c r="H297" s="1">
        <f>bestsellers_with_categories[[#This Row],[Reviews]]*bestsellers_with_categories[[#This Row],[Price]]</f>
        <v>80752</v>
      </c>
      <c r="I297" t="str">
        <f>IF(bestsellers_with_categories[[#This Row],[User Rating]]&gt;40,"recommended","not recommended")</f>
        <v>recommended</v>
      </c>
    </row>
    <row r="298" spans="1:9" x14ac:dyDescent="0.3">
      <c r="A298" t="s">
        <v>422</v>
      </c>
      <c r="B298" t="s">
        <v>423</v>
      </c>
      <c r="C298">
        <v>48</v>
      </c>
      <c r="D298">
        <v>8922</v>
      </c>
      <c r="E298" s="1">
        <v>9</v>
      </c>
      <c r="F298">
        <v>2013</v>
      </c>
      <c r="G298" t="s">
        <v>12</v>
      </c>
      <c r="H298" s="1">
        <f>bestsellers_with_categories[[#This Row],[Reviews]]*bestsellers_with_categories[[#This Row],[Price]]</f>
        <v>80298</v>
      </c>
      <c r="I298" t="str">
        <f>IF(bestsellers_with_categories[[#This Row],[User Rating]]&gt;40,"recommended","not recommended")</f>
        <v>recommended</v>
      </c>
    </row>
    <row r="299" spans="1:9" x14ac:dyDescent="0.3">
      <c r="A299" t="s">
        <v>422</v>
      </c>
      <c r="B299" t="s">
        <v>423</v>
      </c>
      <c r="C299">
        <v>48</v>
      </c>
      <c r="D299">
        <v>8922</v>
      </c>
      <c r="E299" s="1">
        <v>9</v>
      </c>
      <c r="F299">
        <v>2014</v>
      </c>
      <c r="G299" t="s">
        <v>12</v>
      </c>
      <c r="H299" s="1">
        <f>bestsellers_with_categories[[#This Row],[Reviews]]*bestsellers_with_categories[[#This Row],[Price]]</f>
        <v>80298</v>
      </c>
      <c r="I299" t="str">
        <f>IF(bestsellers_with_categories[[#This Row],[User Rating]]&gt;40,"recommended","not recommended")</f>
        <v>recommended</v>
      </c>
    </row>
    <row r="300" spans="1:9" x14ac:dyDescent="0.3">
      <c r="A300" t="s">
        <v>422</v>
      </c>
      <c r="B300" t="s">
        <v>423</v>
      </c>
      <c r="C300">
        <v>48</v>
      </c>
      <c r="D300">
        <v>8922</v>
      </c>
      <c r="E300" s="1">
        <v>9</v>
      </c>
      <c r="F300">
        <v>2015</v>
      </c>
      <c r="G300" t="s">
        <v>12</v>
      </c>
      <c r="H300" s="1">
        <f>bestsellers_with_categories[[#This Row],[Reviews]]*bestsellers_with_categories[[#This Row],[Price]]</f>
        <v>80298</v>
      </c>
      <c r="I300" t="str">
        <f>IF(bestsellers_with_categories[[#This Row],[User Rating]]&gt;40,"recommended","not recommended")</f>
        <v>recommended</v>
      </c>
    </row>
    <row r="301" spans="1:9" x14ac:dyDescent="0.3">
      <c r="A301" t="s">
        <v>595</v>
      </c>
      <c r="B301" t="s">
        <v>596</v>
      </c>
      <c r="C301">
        <v>46</v>
      </c>
      <c r="D301">
        <v>6669</v>
      </c>
      <c r="E301" s="1">
        <v>12</v>
      </c>
      <c r="F301">
        <v>2018</v>
      </c>
      <c r="G301" t="s">
        <v>9</v>
      </c>
      <c r="H301" s="1">
        <f>bestsellers_with_categories[[#This Row],[Reviews]]*bestsellers_with_categories[[#This Row],[Price]]</f>
        <v>80028</v>
      </c>
      <c r="I301" t="str">
        <f>IF(bestsellers_with_categories[[#This Row],[User Rating]]&gt;40,"recommended","not recommended")</f>
        <v>recommended</v>
      </c>
    </row>
    <row r="302" spans="1:9" x14ac:dyDescent="0.3">
      <c r="A302" t="s">
        <v>272</v>
      </c>
      <c r="B302" t="s">
        <v>273</v>
      </c>
      <c r="C302">
        <v>45</v>
      </c>
      <c r="D302">
        <v>6132</v>
      </c>
      <c r="E302" s="1">
        <v>13</v>
      </c>
      <c r="F302">
        <v>2013</v>
      </c>
      <c r="G302" t="s">
        <v>9</v>
      </c>
      <c r="H302" s="1">
        <f>bestsellers_with_categories[[#This Row],[Reviews]]*bestsellers_with_categories[[#This Row],[Price]]</f>
        <v>79716</v>
      </c>
      <c r="I302" t="str">
        <f>IF(bestsellers_with_categories[[#This Row],[User Rating]]&gt;40,"recommended","not recommended")</f>
        <v>recommended</v>
      </c>
    </row>
    <row r="303" spans="1:9" x14ac:dyDescent="0.3">
      <c r="A303" t="s">
        <v>298</v>
      </c>
      <c r="B303" t="s">
        <v>299</v>
      </c>
      <c r="C303">
        <v>48</v>
      </c>
      <c r="D303" s="12">
        <v>2926</v>
      </c>
      <c r="E303" s="1">
        <v>27</v>
      </c>
      <c r="F303">
        <v>2009</v>
      </c>
      <c r="G303" s="11" t="s">
        <v>9</v>
      </c>
      <c r="H303" s="1">
        <f>bestsellers_with_categories[[#This Row],[Reviews]]*bestsellers_with_categories[[#This Row],[Price]]</f>
        <v>79002</v>
      </c>
      <c r="I303" t="str">
        <f>IF(bestsellers_with_categories[[#This Row],[User Rating]]&gt;40,"recommended","not recommended")</f>
        <v>recommended</v>
      </c>
    </row>
    <row r="304" spans="1:9" x14ac:dyDescent="0.3">
      <c r="A304" t="s">
        <v>415</v>
      </c>
      <c r="B304" t="s">
        <v>416</v>
      </c>
      <c r="C304">
        <v>43</v>
      </c>
      <c r="D304">
        <v>13061</v>
      </c>
      <c r="E304" s="1">
        <v>6</v>
      </c>
      <c r="F304">
        <v>2018</v>
      </c>
      <c r="G304" t="s">
        <v>9</v>
      </c>
      <c r="H304" s="1">
        <f>bestsellers_with_categories[[#This Row],[Reviews]]*bestsellers_with_categories[[#This Row],[Price]]</f>
        <v>78366</v>
      </c>
      <c r="I304" t="str">
        <f>IF(bestsellers_with_categories[[#This Row],[User Rating]]&gt;40,"recommended","not recommended")</f>
        <v>recommended</v>
      </c>
    </row>
    <row r="305" spans="1:9" x14ac:dyDescent="0.3">
      <c r="A305" t="s">
        <v>415</v>
      </c>
      <c r="B305" t="s">
        <v>416</v>
      </c>
      <c r="C305">
        <v>43</v>
      </c>
      <c r="D305">
        <v>13061</v>
      </c>
      <c r="E305" s="1">
        <v>6</v>
      </c>
      <c r="F305">
        <v>2019</v>
      </c>
      <c r="G305" t="s">
        <v>9</v>
      </c>
      <c r="H305" s="1">
        <f>bestsellers_with_categories[[#This Row],[Reviews]]*bestsellers_with_categories[[#This Row],[Price]]</f>
        <v>78366</v>
      </c>
      <c r="I305" t="str">
        <f>IF(bestsellers_with_categories[[#This Row],[User Rating]]&gt;40,"recommended","not recommended")</f>
        <v>recommended</v>
      </c>
    </row>
    <row r="306" spans="1:9" x14ac:dyDescent="0.3">
      <c r="A306" t="s">
        <v>175</v>
      </c>
      <c r="B306" t="s">
        <v>176</v>
      </c>
      <c r="C306">
        <v>46</v>
      </c>
      <c r="D306">
        <v>4799</v>
      </c>
      <c r="E306" s="1">
        <v>16</v>
      </c>
      <c r="F306">
        <v>2013</v>
      </c>
      <c r="G306" t="s">
        <v>9</v>
      </c>
      <c r="H306" s="1">
        <f>bestsellers_with_categories[[#This Row],[Reviews]]*bestsellers_with_categories[[#This Row],[Price]]</f>
        <v>76784</v>
      </c>
      <c r="I306" t="str">
        <f>IF(bestsellers_with_categories[[#This Row],[User Rating]]&gt;40,"recommended","not recommended")</f>
        <v>recommended</v>
      </c>
    </row>
    <row r="307" spans="1:9" x14ac:dyDescent="0.3">
      <c r="A307" t="s">
        <v>89</v>
      </c>
      <c r="B307" t="s">
        <v>90</v>
      </c>
      <c r="C307">
        <v>47</v>
      </c>
      <c r="D307">
        <v>4761</v>
      </c>
      <c r="E307" s="1">
        <v>16</v>
      </c>
      <c r="F307">
        <v>2016</v>
      </c>
      <c r="G307" t="s">
        <v>9</v>
      </c>
      <c r="H307" s="1">
        <f>bestsellers_with_categories[[#This Row],[Reviews]]*bestsellers_with_categories[[#This Row],[Price]]</f>
        <v>76176</v>
      </c>
      <c r="I307" t="str">
        <f>IF(bestsellers_with_categories[[#This Row],[User Rating]]&gt;40,"recommended","not recommended")</f>
        <v>recommended</v>
      </c>
    </row>
    <row r="308" spans="1:9" x14ac:dyDescent="0.3">
      <c r="A308" t="s">
        <v>389</v>
      </c>
      <c r="B308" t="s">
        <v>390</v>
      </c>
      <c r="C308">
        <v>47</v>
      </c>
      <c r="D308">
        <v>4725</v>
      </c>
      <c r="E308" s="1">
        <v>16</v>
      </c>
      <c r="F308">
        <v>2015</v>
      </c>
      <c r="G308" t="s">
        <v>9</v>
      </c>
      <c r="H308" s="1">
        <f>bestsellers_with_categories[[#This Row],[Reviews]]*bestsellers_with_categories[[#This Row],[Price]]</f>
        <v>75600</v>
      </c>
      <c r="I308" t="str">
        <f>IF(bestsellers_with_categories[[#This Row],[User Rating]]&gt;40,"recommended","not recommended")</f>
        <v>recommended</v>
      </c>
    </row>
    <row r="309" spans="1:9" x14ac:dyDescent="0.3">
      <c r="A309" t="s">
        <v>389</v>
      </c>
      <c r="B309" t="s">
        <v>390</v>
      </c>
      <c r="C309">
        <v>47</v>
      </c>
      <c r="D309">
        <v>4725</v>
      </c>
      <c r="E309" s="1">
        <v>16</v>
      </c>
      <c r="F309">
        <v>2016</v>
      </c>
      <c r="G309" t="s">
        <v>9</v>
      </c>
      <c r="H309" s="1">
        <f>bestsellers_with_categories[[#This Row],[Reviews]]*bestsellers_with_categories[[#This Row],[Price]]</f>
        <v>75600</v>
      </c>
      <c r="I309" t="str">
        <f>IF(bestsellers_with_categories[[#This Row],[User Rating]]&gt;40,"recommended","not recommended")</f>
        <v>recommended</v>
      </c>
    </row>
    <row r="310" spans="1:9" x14ac:dyDescent="0.3">
      <c r="A310" t="s">
        <v>389</v>
      </c>
      <c r="B310" t="s">
        <v>390</v>
      </c>
      <c r="C310">
        <v>47</v>
      </c>
      <c r="D310">
        <v>4725</v>
      </c>
      <c r="E310" s="1">
        <v>16</v>
      </c>
      <c r="F310">
        <v>2017</v>
      </c>
      <c r="G310" t="s">
        <v>9</v>
      </c>
      <c r="H310" s="1">
        <f>bestsellers_with_categories[[#This Row],[Reviews]]*bestsellers_with_categories[[#This Row],[Price]]</f>
        <v>75600</v>
      </c>
      <c r="I310" t="str">
        <f>IF(bestsellers_with_categories[[#This Row],[User Rating]]&gt;40,"recommended","not recommended")</f>
        <v>recommended</v>
      </c>
    </row>
    <row r="311" spans="1:9" x14ac:dyDescent="0.3">
      <c r="A311" t="s">
        <v>605</v>
      </c>
      <c r="B311" t="s">
        <v>80</v>
      </c>
      <c r="C311">
        <v>49</v>
      </c>
      <c r="D311">
        <v>9413</v>
      </c>
      <c r="E311" s="1">
        <v>8</v>
      </c>
      <c r="F311">
        <v>2019</v>
      </c>
      <c r="G311" t="s">
        <v>12</v>
      </c>
      <c r="H311" s="1">
        <f>bestsellers_with_categories[[#This Row],[Reviews]]*bestsellers_with_categories[[#This Row],[Price]]</f>
        <v>75304</v>
      </c>
      <c r="I311" t="str">
        <f>IF(bestsellers_with_categories[[#This Row],[User Rating]]&gt;40,"recommended","not recommended")</f>
        <v>recommended</v>
      </c>
    </row>
    <row r="312" spans="1:9" x14ac:dyDescent="0.3">
      <c r="A312" t="s">
        <v>132</v>
      </c>
      <c r="B312" t="s">
        <v>128</v>
      </c>
      <c r="C312">
        <v>49</v>
      </c>
      <c r="D312">
        <v>9089</v>
      </c>
      <c r="E312" s="1">
        <v>8</v>
      </c>
      <c r="F312">
        <v>2019</v>
      </c>
      <c r="G312" t="s">
        <v>12</v>
      </c>
      <c r="H312" s="1">
        <f>bestsellers_with_categories[[#This Row],[Reviews]]*bestsellers_with_categories[[#This Row],[Price]]</f>
        <v>72712</v>
      </c>
      <c r="I312" t="str">
        <f>IF(bestsellers_with_categories[[#This Row],[User Rating]]&gt;40,"recommended","not recommended")</f>
        <v>recommended</v>
      </c>
    </row>
    <row r="313" spans="1:9" x14ac:dyDescent="0.3">
      <c r="A313" t="s">
        <v>399</v>
      </c>
      <c r="B313" t="s">
        <v>333</v>
      </c>
      <c r="C313">
        <v>48</v>
      </c>
      <c r="D313">
        <v>6600</v>
      </c>
      <c r="E313" s="1">
        <v>11</v>
      </c>
      <c r="F313">
        <v>2014</v>
      </c>
      <c r="G313" t="s">
        <v>12</v>
      </c>
      <c r="H313" s="1">
        <f>bestsellers_with_categories[[#This Row],[Reviews]]*bestsellers_with_categories[[#This Row],[Price]]</f>
        <v>72600</v>
      </c>
      <c r="I313" t="str">
        <f>IF(bestsellers_with_categories[[#This Row],[User Rating]]&gt;40,"recommended","not recommended")</f>
        <v>recommended</v>
      </c>
    </row>
    <row r="314" spans="1:9" x14ac:dyDescent="0.3">
      <c r="A314" t="s">
        <v>557</v>
      </c>
      <c r="B314" t="s">
        <v>558</v>
      </c>
      <c r="C314">
        <v>43</v>
      </c>
      <c r="D314">
        <v>5977</v>
      </c>
      <c r="E314" s="1">
        <v>12</v>
      </c>
      <c r="F314">
        <v>2011</v>
      </c>
      <c r="G314" t="s">
        <v>9</v>
      </c>
      <c r="H314" s="1">
        <f>bestsellers_with_categories[[#This Row],[Reviews]]*bestsellers_with_categories[[#This Row],[Price]]</f>
        <v>71724</v>
      </c>
      <c r="I314" t="str">
        <f>IF(bestsellers_with_categories[[#This Row],[User Rating]]&gt;40,"recommended","not recommended")</f>
        <v>recommended</v>
      </c>
    </row>
    <row r="315" spans="1:9" x14ac:dyDescent="0.3">
      <c r="A315" t="s">
        <v>77</v>
      </c>
      <c r="B315" t="s">
        <v>78</v>
      </c>
      <c r="C315">
        <v>49</v>
      </c>
      <c r="D315">
        <v>14344</v>
      </c>
      <c r="E315" s="1">
        <v>5</v>
      </c>
      <c r="F315">
        <v>2017</v>
      </c>
      <c r="G315" t="s">
        <v>12</v>
      </c>
      <c r="H315" s="1">
        <f>bestsellers_with_categories[[#This Row],[Reviews]]*bestsellers_with_categories[[#This Row],[Price]]</f>
        <v>71720</v>
      </c>
      <c r="I315" t="str">
        <f>IF(bestsellers_with_categories[[#This Row],[User Rating]]&gt;40,"recommended","not recommended")</f>
        <v>recommended</v>
      </c>
    </row>
    <row r="316" spans="1:9" x14ac:dyDescent="0.3">
      <c r="A316" t="s">
        <v>77</v>
      </c>
      <c r="B316" t="s">
        <v>78</v>
      </c>
      <c r="C316">
        <v>49</v>
      </c>
      <c r="D316">
        <v>14344</v>
      </c>
      <c r="E316" s="1">
        <v>5</v>
      </c>
      <c r="F316">
        <v>2019</v>
      </c>
      <c r="G316" t="s">
        <v>12</v>
      </c>
      <c r="H316" s="1">
        <f>bestsellers_with_categories[[#This Row],[Reviews]]*bestsellers_with_categories[[#This Row],[Price]]</f>
        <v>71720</v>
      </c>
      <c r="I316" t="str">
        <f>IF(bestsellers_with_categories[[#This Row],[User Rating]]&gt;40,"recommended","not recommended")</f>
        <v>recommended</v>
      </c>
    </row>
    <row r="317" spans="1:9" x14ac:dyDescent="0.3">
      <c r="A317" t="s">
        <v>549</v>
      </c>
      <c r="B317" t="s">
        <v>550</v>
      </c>
      <c r="C317">
        <v>45</v>
      </c>
      <c r="D317">
        <v>7932</v>
      </c>
      <c r="E317" s="1">
        <v>9</v>
      </c>
      <c r="F317">
        <v>2017</v>
      </c>
      <c r="G317" t="s">
        <v>12</v>
      </c>
      <c r="H317" s="1">
        <f>bestsellers_with_categories[[#This Row],[Reviews]]*bestsellers_with_categories[[#This Row],[Price]]</f>
        <v>71388</v>
      </c>
      <c r="I317" t="str">
        <f>IF(bestsellers_with_categories[[#This Row],[User Rating]]&gt;40,"recommended","not recommended")</f>
        <v>recommended</v>
      </c>
    </row>
    <row r="318" spans="1:9" x14ac:dyDescent="0.3">
      <c r="A318" t="s">
        <v>316</v>
      </c>
      <c r="B318" t="s">
        <v>317</v>
      </c>
      <c r="C318">
        <v>49</v>
      </c>
      <c r="D318">
        <v>3192</v>
      </c>
      <c r="E318" s="1">
        <v>22</v>
      </c>
      <c r="F318">
        <v>2017</v>
      </c>
      <c r="G318" t="s">
        <v>9</v>
      </c>
      <c r="H318" s="1">
        <f>bestsellers_with_categories[[#This Row],[Reviews]]*bestsellers_with_categories[[#This Row],[Price]]</f>
        <v>70224</v>
      </c>
      <c r="I318" t="str">
        <f>IF(bestsellers_with_categories[[#This Row],[User Rating]]&gt;40,"recommended","not recommended")</f>
        <v>recommended</v>
      </c>
    </row>
    <row r="319" spans="1:9" x14ac:dyDescent="0.3">
      <c r="A319" t="s">
        <v>343</v>
      </c>
      <c r="B319" t="s">
        <v>344</v>
      </c>
      <c r="C319">
        <v>46</v>
      </c>
      <c r="D319">
        <v>10009</v>
      </c>
      <c r="E319" s="1">
        <v>7</v>
      </c>
      <c r="F319">
        <v>2013</v>
      </c>
      <c r="G319" t="s">
        <v>9</v>
      </c>
      <c r="H319" s="1">
        <f>bestsellers_with_categories[[#This Row],[Reviews]]*bestsellers_with_categories[[#This Row],[Price]]</f>
        <v>70063</v>
      </c>
      <c r="I319" t="str">
        <f>IF(bestsellers_with_categories[[#This Row],[User Rating]]&gt;40,"recommended","not recommended")</f>
        <v>recommended</v>
      </c>
    </row>
    <row r="320" spans="1:9" x14ac:dyDescent="0.3">
      <c r="A320" t="s">
        <v>163</v>
      </c>
      <c r="B320" t="s">
        <v>164</v>
      </c>
      <c r="C320">
        <v>47</v>
      </c>
      <c r="D320">
        <v>17323</v>
      </c>
      <c r="E320" s="1">
        <v>4</v>
      </c>
      <c r="F320">
        <v>2014</v>
      </c>
      <c r="G320" t="s">
        <v>9</v>
      </c>
      <c r="H320" s="1">
        <f>bestsellers_with_categories[[#This Row],[Reviews]]*bestsellers_with_categories[[#This Row],[Price]]</f>
        <v>69292</v>
      </c>
      <c r="I320" t="str">
        <f>IF(bestsellers_with_categories[[#This Row],[User Rating]]&gt;40,"recommended","not recommended")</f>
        <v>recommended</v>
      </c>
    </row>
    <row r="321" spans="1:9" x14ac:dyDescent="0.3">
      <c r="A321" t="s">
        <v>163</v>
      </c>
      <c r="B321" t="s">
        <v>164</v>
      </c>
      <c r="C321">
        <v>47</v>
      </c>
      <c r="D321">
        <v>17323</v>
      </c>
      <c r="E321" s="1">
        <v>4</v>
      </c>
      <c r="F321">
        <v>2015</v>
      </c>
      <c r="G321" t="s">
        <v>9</v>
      </c>
      <c r="H321" s="1">
        <f>bestsellers_with_categories[[#This Row],[Reviews]]*bestsellers_with_categories[[#This Row],[Price]]</f>
        <v>69292</v>
      </c>
      <c r="I321" t="str">
        <f>IF(bestsellers_with_categories[[#This Row],[User Rating]]&gt;40,"recommended","not recommended")</f>
        <v>recommended</v>
      </c>
    </row>
    <row r="322" spans="1:9" x14ac:dyDescent="0.3">
      <c r="A322" t="s">
        <v>163</v>
      </c>
      <c r="B322" t="s">
        <v>164</v>
      </c>
      <c r="C322">
        <v>47</v>
      </c>
      <c r="D322">
        <v>17323</v>
      </c>
      <c r="E322" s="1">
        <v>4</v>
      </c>
      <c r="F322">
        <v>2016</v>
      </c>
      <c r="G322" t="s">
        <v>9</v>
      </c>
      <c r="H322" s="1">
        <f>bestsellers_with_categories[[#This Row],[Reviews]]*bestsellers_with_categories[[#This Row],[Price]]</f>
        <v>69292</v>
      </c>
      <c r="I322" t="str">
        <f>IF(bestsellers_with_categories[[#This Row],[User Rating]]&gt;40,"recommended","not recommended")</f>
        <v>recommended</v>
      </c>
    </row>
    <row r="323" spans="1:9" x14ac:dyDescent="0.3">
      <c r="A323" t="s">
        <v>163</v>
      </c>
      <c r="B323" t="s">
        <v>164</v>
      </c>
      <c r="C323">
        <v>47</v>
      </c>
      <c r="D323">
        <v>17323</v>
      </c>
      <c r="E323" s="1">
        <v>4</v>
      </c>
      <c r="F323">
        <v>2017</v>
      </c>
      <c r="G323" t="s">
        <v>9</v>
      </c>
      <c r="H323" s="1">
        <f>bestsellers_with_categories[[#This Row],[Reviews]]*bestsellers_with_categories[[#This Row],[Price]]</f>
        <v>69292</v>
      </c>
      <c r="I323" t="str">
        <f>IF(bestsellers_with_categories[[#This Row],[User Rating]]&gt;40,"recommended","not recommended")</f>
        <v>recommended</v>
      </c>
    </row>
    <row r="324" spans="1:9" x14ac:dyDescent="0.3">
      <c r="A324" t="s">
        <v>163</v>
      </c>
      <c r="B324" t="s">
        <v>164</v>
      </c>
      <c r="C324">
        <v>47</v>
      </c>
      <c r="D324">
        <v>17323</v>
      </c>
      <c r="E324" s="1">
        <v>4</v>
      </c>
      <c r="F324">
        <v>2018</v>
      </c>
      <c r="G324" t="s">
        <v>9</v>
      </c>
      <c r="H324" s="1">
        <f>bestsellers_with_categories[[#This Row],[Reviews]]*bestsellers_with_categories[[#This Row],[Price]]</f>
        <v>69292</v>
      </c>
      <c r="I324" t="str">
        <f>IF(bestsellers_with_categories[[#This Row],[User Rating]]&gt;40,"recommended","not recommended")</f>
        <v>recommended</v>
      </c>
    </row>
    <row r="325" spans="1:9" x14ac:dyDescent="0.3">
      <c r="A325" t="s">
        <v>234</v>
      </c>
      <c r="B325" t="s">
        <v>235</v>
      </c>
      <c r="C325">
        <v>48</v>
      </c>
      <c r="D325">
        <v>9737</v>
      </c>
      <c r="E325" s="1">
        <v>7</v>
      </c>
      <c r="F325">
        <v>2019</v>
      </c>
      <c r="G325" t="s">
        <v>9</v>
      </c>
      <c r="H325" s="1">
        <f>bestsellers_with_categories[[#This Row],[Reviews]]*bestsellers_with_categories[[#This Row],[Price]]</f>
        <v>68159</v>
      </c>
      <c r="I325" t="str">
        <f>IF(bestsellers_with_categories[[#This Row],[User Rating]]&gt;40,"recommended","not recommended")</f>
        <v>recommended</v>
      </c>
    </row>
    <row r="326" spans="1:9" x14ac:dyDescent="0.3">
      <c r="A326" t="s">
        <v>72</v>
      </c>
      <c r="B326" t="s">
        <v>73</v>
      </c>
      <c r="C326">
        <v>47</v>
      </c>
      <c r="D326">
        <v>3729</v>
      </c>
      <c r="E326" s="1">
        <v>18</v>
      </c>
      <c r="F326">
        <v>2016</v>
      </c>
      <c r="G326" t="s">
        <v>9</v>
      </c>
      <c r="H326" s="1">
        <f>bestsellers_with_categories[[#This Row],[Reviews]]*bestsellers_with_categories[[#This Row],[Price]]</f>
        <v>67122</v>
      </c>
      <c r="I326" t="str">
        <f>IF(bestsellers_with_categories[[#This Row],[User Rating]]&gt;40,"recommended","not recommended")</f>
        <v>recommended</v>
      </c>
    </row>
    <row r="327" spans="1:9" x14ac:dyDescent="0.3">
      <c r="A327" t="s">
        <v>238</v>
      </c>
      <c r="B327" t="s">
        <v>239</v>
      </c>
      <c r="C327">
        <v>48</v>
      </c>
      <c r="D327">
        <v>16643</v>
      </c>
      <c r="E327" s="1">
        <v>4</v>
      </c>
      <c r="F327">
        <v>2017</v>
      </c>
      <c r="G327" t="s">
        <v>12</v>
      </c>
      <c r="H327" s="1">
        <f>bestsellers_with_categories[[#This Row],[Reviews]]*bestsellers_with_categories[[#This Row],[Price]]</f>
        <v>66572</v>
      </c>
      <c r="I327" t="str">
        <f>IF(bestsellers_with_categories[[#This Row],[User Rating]]&gt;40,"recommended","not recommended")</f>
        <v>recommended</v>
      </c>
    </row>
    <row r="328" spans="1:9" x14ac:dyDescent="0.3">
      <c r="A328" t="s">
        <v>238</v>
      </c>
      <c r="B328" t="s">
        <v>239</v>
      </c>
      <c r="C328">
        <v>48</v>
      </c>
      <c r="D328">
        <v>16643</v>
      </c>
      <c r="E328" s="1">
        <v>4</v>
      </c>
      <c r="F328">
        <v>2019</v>
      </c>
      <c r="G328" t="s">
        <v>12</v>
      </c>
      <c r="H328" s="1">
        <f>bestsellers_with_categories[[#This Row],[Reviews]]*bestsellers_with_categories[[#This Row],[Price]]</f>
        <v>66572</v>
      </c>
      <c r="I328" t="str">
        <f>IF(bestsellers_with_categories[[#This Row],[User Rating]]&gt;40,"recommended","not recommended")</f>
        <v>recommended</v>
      </c>
    </row>
    <row r="329" spans="1:9" x14ac:dyDescent="0.3">
      <c r="A329" t="s">
        <v>262</v>
      </c>
      <c r="B329" t="s">
        <v>259</v>
      </c>
      <c r="C329">
        <v>46</v>
      </c>
      <c r="D329">
        <v>10927</v>
      </c>
      <c r="E329" s="1">
        <v>6</v>
      </c>
      <c r="F329">
        <v>2014</v>
      </c>
      <c r="G329" t="s">
        <v>9</v>
      </c>
      <c r="H329" s="1">
        <f>bestsellers_with_categories[[#This Row],[Reviews]]*bestsellers_with_categories[[#This Row],[Price]]</f>
        <v>65562</v>
      </c>
      <c r="I329" t="str">
        <f>IF(bestsellers_with_categories[[#This Row],[User Rating]]&gt;40,"recommended","not recommended")</f>
        <v>recommended</v>
      </c>
    </row>
    <row r="330" spans="1:9" x14ac:dyDescent="0.3">
      <c r="A330" t="s">
        <v>152</v>
      </c>
      <c r="B330" t="s">
        <v>153</v>
      </c>
      <c r="C330">
        <v>47</v>
      </c>
      <c r="D330">
        <v>4370</v>
      </c>
      <c r="E330" s="1">
        <v>15</v>
      </c>
      <c r="F330">
        <v>2016</v>
      </c>
      <c r="G330" t="s">
        <v>12</v>
      </c>
      <c r="H330" s="1">
        <f>bestsellers_with_categories[[#This Row],[Reviews]]*bestsellers_with_categories[[#This Row],[Price]]</f>
        <v>65550</v>
      </c>
      <c r="I330" t="str">
        <f>IF(bestsellers_with_categories[[#This Row],[User Rating]]&gt;40,"recommended","not recommended")</f>
        <v>recommended</v>
      </c>
    </row>
    <row r="331" spans="1:9" x14ac:dyDescent="0.3">
      <c r="A331" t="s">
        <v>570</v>
      </c>
      <c r="B331" t="s">
        <v>279</v>
      </c>
      <c r="C331">
        <v>49</v>
      </c>
      <c r="D331">
        <v>5956</v>
      </c>
      <c r="E331" s="1">
        <v>11</v>
      </c>
      <c r="F331">
        <v>2019</v>
      </c>
      <c r="G331" t="s">
        <v>9</v>
      </c>
      <c r="H331" s="1">
        <f>bestsellers_with_categories[[#This Row],[Reviews]]*bestsellers_with_categories[[#This Row],[Price]]</f>
        <v>65516</v>
      </c>
      <c r="I331" t="str">
        <f>IF(bestsellers_with_categories[[#This Row],[User Rating]]&gt;40,"recommended","not recommended")</f>
        <v>recommended</v>
      </c>
    </row>
    <row r="332" spans="1:9" x14ac:dyDescent="0.3">
      <c r="A332" t="s">
        <v>439</v>
      </c>
      <c r="B332" t="s">
        <v>438</v>
      </c>
      <c r="C332">
        <v>47</v>
      </c>
      <c r="D332">
        <v>7251</v>
      </c>
      <c r="E332" s="1">
        <v>9</v>
      </c>
      <c r="F332">
        <v>2010</v>
      </c>
      <c r="G332" t="s">
        <v>12</v>
      </c>
      <c r="H332" s="1">
        <f>bestsellers_with_categories[[#This Row],[Reviews]]*bestsellers_with_categories[[#This Row],[Price]]</f>
        <v>65259</v>
      </c>
      <c r="I332" t="str">
        <f>IF(bestsellers_with_categories[[#This Row],[User Rating]]&gt;40,"recommended","not recommended")</f>
        <v>recommended</v>
      </c>
    </row>
    <row r="333" spans="1:9" x14ac:dyDescent="0.3">
      <c r="A333" t="s">
        <v>502</v>
      </c>
      <c r="B333" t="s">
        <v>503</v>
      </c>
      <c r="C333">
        <v>45</v>
      </c>
      <c r="D333">
        <v>3601</v>
      </c>
      <c r="E333" s="1">
        <v>18</v>
      </c>
      <c r="F333">
        <v>2018</v>
      </c>
      <c r="G333" t="s">
        <v>9</v>
      </c>
      <c r="H333" s="1">
        <f>bestsellers_with_categories[[#This Row],[Reviews]]*bestsellers_with_categories[[#This Row],[Price]]</f>
        <v>64818</v>
      </c>
      <c r="I333" t="str">
        <f>IF(bestsellers_with_categories[[#This Row],[User Rating]]&gt;40,"recommended","not recommended")</f>
        <v>recommended</v>
      </c>
    </row>
    <row r="334" spans="1:9" x14ac:dyDescent="0.3">
      <c r="A334" t="s">
        <v>408</v>
      </c>
      <c r="B334" t="s">
        <v>409</v>
      </c>
      <c r="C334">
        <v>48</v>
      </c>
      <c r="D334">
        <v>8081</v>
      </c>
      <c r="E334" s="1">
        <v>8</v>
      </c>
      <c r="F334">
        <v>2014</v>
      </c>
      <c r="G334" t="s">
        <v>12</v>
      </c>
      <c r="H334" s="1">
        <f>bestsellers_with_categories[[#This Row],[Reviews]]*bestsellers_with_categories[[#This Row],[Price]]</f>
        <v>64648</v>
      </c>
      <c r="I334" t="str">
        <f>IF(bestsellers_with_categories[[#This Row],[User Rating]]&gt;40,"recommended","not recommended")</f>
        <v>recommended</v>
      </c>
    </row>
    <row r="335" spans="1:9" x14ac:dyDescent="0.3">
      <c r="A335" t="s">
        <v>408</v>
      </c>
      <c r="B335" t="s">
        <v>409</v>
      </c>
      <c r="C335">
        <v>48</v>
      </c>
      <c r="D335">
        <v>8081</v>
      </c>
      <c r="E335" s="1">
        <v>8</v>
      </c>
      <c r="F335">
        <v>2015</v>
      </c>
      <c r="G335" t="s">
        <v>12</v>
      </c>
      <c r="H335" s="1">
        <f>bestsellers_with_categories[[#This Row],[Reviews]]*bestsellers_with_categories[[#This Row],[Price]]</f>
        <v>64648</v>
      </c>
      <c r="I335" t="str">
        <f>IF(bestsellers_with_categories[[#This Row],[User Rating]]&gt;40,"recommended","not recommended")</f>
        <v>recommended</v>
      </c>
    </row>
    <row r="336" spans="1:9" x14ac:dyDescent="0.3">
      <c r="A336" t="s">
        <v>240</v>
      </c>
      <c r="B336" t="s">
        <v>241</v>
      </c>
      <c r="C336">
        <v>43</v>
      </c>
      <c r="D336">
        <v>7153</v>
      </c>
      <c r="E336" s="1">
        <v>9</v>
      </c>
      <c r="F336">
        <v>2014</v>
      </c>
      <c r="G336" t="s">
        <v>12</v>
      </c>
      <c r="H336" s="1">
        <f>bestsellers_with_categories[[#This Row],[Reviews]]*bestsellers_with_categories[[#This Row],[Price]]</f>
        <v>64377</v>
      </c>
      <c r="I336" t="str">
        <f>IF(bestsellers_with_categories[[#This Row],[User Rating]]&gt;40,"recommended","not recommended")</f>
        <v>recommended</v>
      </c>
    </row>
    <row r="337" spans="1:9" x14ac:dyDescent="0.3">
      <c r="A337" t="s">
        <v>274</v>
      </c>
      <c r="B337" t="s">
        <v>275</v>
      </c>
      <c r="C337">
        <v>45</v>
      </c>
      <c r="D337">
        <v>3014</v>
      </c>
      <c r="E337" s="1">
        <v>21</v>
      </c>
      <c r="F337">
        <v>2017</v>
      </c>
      <c r="G337" t="s">
        <v>9</v>
      </c>
      <c r="H337" s="1">
        <f>bestsellers_with_categories[[#This Row],[Reviews]]*bestsellers_with_categories[[#This Row],[Price]]</f>
        <v>63294</v>
      </c>
      <c r="I337" t="str">
        <f>IF(bestsellers_with_categories[[#This Row],[User Rating]]&gt;40,"recommended","not recommended")</f>
        <v>recommended</v>
      </c>
    </row>
    <row r="338" spans="1:9" x14ac:dyDescent="0.3">
      <c r="A338" t="s">
        <v>477</v>
      </c>
      <c r="B338" t="s">
        <v>333</v>
      </c>
      <c r="C338">
        <v>48</v>
      </c>
      <c r="D338">
        <v>4506</v>
      </c>
      <c r="E338" s="1">
        <v>14</v>
      </c>
      <c r="F338">
        <v>2010</v>
      </c>
      <c r="G338" t="s">
        <v>12</v>
      </c>
      <c r="H338" s="1">
        <f>bestsellers_with_categories[[#This Row],[Reviews]]*bestsellers_with_categories[[#This Row],[Price]]</f>
        <v>63084</v>
      </c>
      <c r="I338" t="str">
        <f>IF(bestsellers_with_categories[[#This Row],[User Rating]]&gt;40,"recommended","not recommended")</f>
        <v>recommended</v>
      </c>
    </row>
    <row r="339" spans="1:9" x14ac:dyDescent="0.3">
      <c r="A339" t="s">
        <v>361</v>
      </c>
      <c r="B339" t="s">
        <v>362</v>
      </c>
      <c r="C339">
        <v>48</v>
      </c>
      <c r="D339">
        <v>3923</v>
      </c>
      <c r="E339" s="1">
        <v>16</v>
      </c>
      <c r="F339">
        <v>2018</v>
      </c>
      <c r="G339" t="s">
        <v>9</v>
      </c>
      <c r="H339" s="1">
        <f>bestsellers_with_categories[[#This Row],[Reviews]]*bestsellers_with_categories[[#This Row],[Price]]</f>
        <v>62768</v>
      </c>
      <c r="I339" t="str">
        <f>IF(bestsellers_with_categories[[#This Row],[User Rating]]&gt;40,"recommended","not recommended")</f>
        <v>recommended</v>
      </c>
    </row>
    <row r="340" spans="1:9" x14ac:dyDescent="0.3">
      <c r="A340" t="s">
        <v>483</v>
      </c>
      <c r="B340" t="s">
        <v>333</v>
      </c>
      <c r="C340">
        <v>48</v>
      </c>
      <c r="D340">
        <v>6247</v>
      </c>
      <c r="E340" s="1">
        <v>10</v>
      </c>
      <c r="F340">
        <v>2012</v>
      </c>
      <c r="G340" t="s">
        <v>12</v>
      </c>
      <c r="H340" s="1">
        <f>bestsellers_with_categories[[#This Row],[Reviews]]*bestsellers_with_categories[[#This Row],[Price]]</f>
        <v>62470</v>
      </c>
      <c r="I340" t="str">
        <f>IF(bestsellers_with_categories[[#This Row],[User Rating]]&gt;40,"recommended","not recommended")</f>
        <v>recommended</v>
      </c>
    </row>
    <row r="341" spans="1:9" x14ac:dyDescent="0.3">
      <c r="A341" t="s">
        <v>191</v>
      </c>
      <c r="B341" t="s">
        <v>192</v>
      </c>
      <c r="C341">
        <v>46</v>
      </c>
      <c r="D341">
        <v>10141</v>
      </c>
      <c r="E341" s="1">
        <v>6</v>
      </c>
      <c r="F341">
        <v>2019</v>
      </c>
      <c r="G341" t="s">
        <v>9</v>
      </c>
      <c r="H341" s="1">
        <f>bestsellers_with_categories[[#This Row],[Reviews]]*bestsellers_with_categories[[#This Row],[Price]]</f>
        <v>60846</v>
      </c>
      <c r="I341" t="str">
        <f>IF(bestsellers_with_categories[[#This Row],[User Rating]]&gt;40,"recommended","not recommended")</f>
        <v>recommended</v>
      </c>
    </row>
    <row r="342" spans="1:9" x14ac:dyDescent="0.3">
      <c r="A342" t="s">
        <v>501</v>
      </c>
      <c r="B342" t="s">
        <v>499</v>
      </c>
      <c r="C342">
        <v>48</v>
      </c>
      <c r="D342">
        <v>2876</v>
      </c>
      <c r="E342" s="1">
        <v>21</v>
      </c>
      <c r="F342">
        <v>2012</v>
      </c>
      <c r="G342" t="s">
        <v>9</v>
      </c>
      <c r="H342" s="1">
        <f>bestsellers_with_categories[[#This Row],[Reviews]]*bestsellers_with_categories[[#This Row],[Price]]</f>
        <v>60396</v>
      </c>
      <c r="I342" t="str">
        <f>IF(bestsellers_with_categories[[#This Row],[User Rating]]&gt;40,"recommended","not recommended")</f>
        <v>recommended</v>
      </c>
    </row>
    <row r="343" spans="1:9" x14ac:dyDescent="0.3">
      <c r="A343" t="s">
        <v>102</v>
      </c>
      <c r="B343" t="s">
        <v>103</v>
      </c>
      <c r="C343">
        <v>44</v>
      </c>
      <c r="D343">
        <v>4642</v>
      </c>
      <c r="E343" s="1">
        <v>13</v>
      </c>
      <c r="F343">
        <v>2013</v>
      </c>
      <c r="G343" t="s">
        <v>9</v>
      </c>
      <c r="H343" s="1">
        <f>bestsellers_with_categories[[#This Row],[Reviews]]*bestsellers_with_categories[[#This Row],[Price]]</f>
        <v>60346</v>
      </c>
      <c r="I343" t="str">
        <f>IF(bestsellers_with_categories[[#This Row],[User Rating]]&gt;40,"recommended","not recommended")</f>
        <v>recommended</v>
      </c>
    </row>
    <row r="344" spans="1:9" x14ac:dyDescent="0.3">
      <c r="A344" t="s">
        <v>496</v>
      </c>
      <c r="B344" t="s">
        <v>497</v>
      </c>
      <c r="C344">
        <v>43</v>
      </c>
      <c r="D344">
        <v>3759</v>
      </c>
      <c r="E344" s="1">
        <v>16</v>
      </c>
      <c r="F344">
        <v>2011</v>
      </c>
      <c r="G344" t="s">
        <v>12</v>
      </c>
      <c r="H344" s="1">
        <f>bestsellers_with_categories[[#This Row],[Reviews]]*bestsellers_with_categories[[#This Row],[Price]]</f>
        <v>60144</v>
      </c>
      <c r="I344" t="str">
        <f>IF(bestsellers_with_categories[[#This Row],[User Rating]]&gt;40,"recommended","not recommended")</f>
        <v>recommended</v>
      </c>
    </row>
    <row r="345" spans="1:9" x14ac:dyDescent="0.3">
      <c r="A345" t="s">
        <v>397</v>
      </c>
      <c r="B345" t="s">
        <v>398</v>
      </c>
      <c r="C345">
        <v>47</v>
      </c>
      <c r="D345">
        <v>3536</v>
      </c>
      <c r="E345" s="1">
        <v>17</v>
      </c>
      <c r="F345">
        <v>2010</v>
      </c>
      <c r="G345" t="s">
        <v>9</v>
      </c>
      <c r="H345" s="1">
        <f>bestsellers_with_categories[[#This Row],[Reviews]]*bestsellers_with_categories[[#This Row],[Price]]</f>
        <v>60112</v>
      </c>
      <c r="I345" t="str">
        <f>IF(bestsellers_with_categories[[#This Row],[User Rating]]&gt;40,"recommended","not recommended")</f>
        <v>recommended</v>
      </c>
    </row>
    <row r="346" spans="1:9" x14ac:dyDescent="0.3">
      <c r="A346" t="s">
        <v>199</v>
      </c>
      <c r="B346" t="s">
        <v>200</v>
      </c>
      <c r="C346">
        <v>46</v>
      </c>
      <c r="D346">
        <v>5972</v>
      </c>
      <c r="E346" s="1">
        <v>10</v>
      </c>
      <c r="F346">
        <v>2014</v>
      </c>
      <c r="G346" t="s">
        <v>9</v>
      </c>
      <c r="H346" s="1">
        <f>bestsellers_with_categories[[#This Row],[Reviews]]*bestsellers_with_categories[[#This Row],[Price]]</f>
        <v>59720</v>
      </c>
      <c r="I346" t="str">
        <f>IF(bestsellers_with_categories[[#This Row],[User Rating]]&gt;40,"recommended","not recommended")</f>
        <v>recommended</v>
      </c>
    </row>
    <row r="347" spans="1:9" x14ac:dyDescent="0.3">
      <c r="A347" t="s">
        <v>288</v>
      </c>
      <c r="B347" t="s">
        <v>289</v>
      </c>
      <c r="C347">
        <v>45</v>
      </c>
      <c r="D347">
        <v>8491</v>
      </c>
      <c r="E347" s="1">
        <v>7</v>
      </c>
      <c r="F347">
        <v>2014</v>
      </c>
      <c r="G347" t="s">
        <v>12</v>
      </c>
      <c r="H347" s="1">
        <f>bestsellers_with_categories[[#This Row],[Reviews]]*bestsellers_with_categories[[#This Row],[Price]]</f>
        <v>59437</v>
      </c>
      <c r="I347" t="str">
        <f>IF(bestsellers_with_categories[[#This Row],[User Rating]]&gt;40,"recommended","not recommended")</f>
        <v>recommended</v>
      </c>
    </row>
    <row r="348" spans="1:9" x14ac:dyDescent="0.3">
      <c r="A348" t="s">
        <v>117</v>
      </c>
      <c r="B348" t="s">
        <v>80</v>
      </c>
      <c r="C348">
        <v>48</v>
      </c>
      <c r="D348" s="12">
        <v>3837</v>
      </c>
      <c r="E348" s="1">
        <v>15</v>
      </c>
      <c r="F348">
        <v>2009</v>
      </c>
      <c r="G348" s="11" t="s">
        <v>12</v>
      </c>
      <c r="H348" s="1">
        <f>bestsellers_with_categories[[#This Row],[Reviews]]*bestsellers_with_categories[[#This Row],[Price]]</f>
        <v>57555</v>
      </c>
      <c r="I348" t="str">
        <f>IF(bestsellers_with_categories[[#This Row],[User Rating]]&gt;40,"recommended","not recommended")</f>
        <v>recommended</v>
      </c>
    </row>
    <row r="349" spans="1:9" x14ac:dyDescent="0.3">
      <c r="A349" t="s">
        <v>278</v>
      </c>
      <c r="B349" t="s">
        <v>279</v>
      </c>
      <c r="C349">
        <v>48</v>
      </c>
      <c r="D349" s="12">
        <v>3828</v>
      </c>
      <c r="E349" s="1">
        <v>15</v>
      </c>
      <c r="F349">
        <v>2009</v>
      </c>
      <c r="G349" s="11" t="s">
        <v>9</v>
      </c>
      <c r="H349" s="1">
        <f>bestsellers_with_categories[[#This Row],[Reviews]]*bestsellers_with_categories[[#This Row],[Price]]</f>
        <v>57420</v>
      </c>
      <c r="I349" t="str">
        <f>IF(bestsellers_with_categories[[#This Row],[User Rating]]&gt;40,"recommended","not recommended")</f>
        <v>recommended</v>
      </c>
    </row>
    <row r="350" spans="1:9" x14ac:dyDescent="0.3">
      <c r="A350" t="s">
        <v>142</v>
      </c>
      <c r="B350" t="s">
        <v>143</v>
      </c>
      <c r="C350">
        <v>45</v>
      </c>
      <c r="D350">
        <v>6346</v>
      </c>
      <c r="E350" s="1">
        <v>9</v>
      </c>
      <c r="F350">
        <v>2011</v>
      </c>
      <c r="G350" t="s">
        <v>9</v>
      </c>
      <c r="H350" s="1">
        <f>bestsellers_with_categories[[#This Row],[Reviews]]*bestsellers_with_categories[[#This Row],[Price]]</f>
        <v>57114</v>
      </c>
      <c r="I350" t="str">
        <f>IF(bestsellers_with_categories[[#This Row],[User Rating]]&gt;40,"recommended","not recommended")</f>
        <v>recommended</v>
      </c>
    </row>
    <row r="351" spans="1:9" x14ac:dyDescent="0.3">
      <c r="A351" t="s">
        <v>142</v>
      </c>
      <c r="B351" t="s">
        <v>143</v>
      </c>
      <c r="C351">
        <v>45</v>
      </c>
      <c r="D351">
        <v>6346</v>
      </c>
      <c r="E351" s="1">
        <v>9</v>
      </c>
      <c r="F351">
        <v>2012</v>
      </c>
      <c r="G351" t="s">
        <v>9</v>
      </c>
      <c r="H351" s="1">
        <f>bestsellers_with_categories[[#This Row],[Reviews]]*bestsellers_with_categories[[#This Row],[Price]]</f>
        <v>57114</v>
      </c>
      <c r="I351" t="str">
        <f>IF(bestsellers_with_categories[[#This Row],[User Rating]]&gt;40,"recommended","not recommended")</f>
        <v>recommended</v>
      </c>
    </row>
    <row r="352" spans="1:9" x14ac:dyDescent="0.3">
      <c r="A352" t="s">
        <v>255</v>
      </c>
      <c r="B352" t="s">
        <v>11</v>
      </c>
      <c r="C352">
        <v>45</v>
      </c>
      <c r="D352">
        <v>4748</v>
      </c>
      <c r="E352" s="1">
        <v>12</v>
      </c>
      <c r="F352">
        <v>2013</v>
      </c>
      <c r="G352" t="s">
        <v>12</v>
      </c>
      <c r="H352" s="1">
        <f>bestsellers_with_categories[[#This Row],[Reviews]]*bestsellers_with_categories[[#This Row],[Price]]</f>
        <v>56976</v>
      </c>
      <c r="I352" t="str">
        <f>IF(bestsellers_with_categories[[#This Row],[User Rating]]&gt;40,"recommended","not recommended")</f>
        <v>recommended</v>
      </c>
    </row>
    <row r="353" spans="1:9" x14ac:dyDescent="0.3">
      <c r="A353" t="s">
        <v>311</v>
      </c>
      <c r="B353" t="s">
        <v>75</v>
      </c>
      <c r="C353">
        <v>46</v>
      </c>
      <c r="D353" s="12">
        <v>5680</v>
      </c>
      <c r="E353" s="1">
        <v>10</v>
      </c>
      <c r="F353">
        <v>2009</v>
      </c>
      <c r="G353" s="11" t="s">
        <v>12</v>
      </c>
      <c r="H353" s="1">
        <f>bestsellers_with_categories[[#This Row],[Reviews]]*bestsellers_with_categories[[#This Row],[Price]]</f>
        <v>56800</v>
      </c>
      <c r="I353" t="str">
        <f>IF(bestsellers_with_categories[[#This Row],[User Rating]]&gt;40,"recommended","not recommended")</f>
        <v>recommended</v>
      </c>
    </row>
    <row r="354" spans="1:9" x14ac:dyDescent="0.3">
      <c r="A354" t="s">
        <v>368</v>
      </c>
      <c r="B354" t="s">
        <v>369</v>
      </c>
      <c r="C354">
        <v>49</v>
      </c>
      <c r="D354">
        <v>9382</v>
      </c>
      <c r="E354" s="1">
        <v>6</v>
      </c>
      <c r="F354">
        <v>2019</v>
      </c>
      <c r="G354" t="s">
        <v>12</v>
      </c>
      <c r="H354" s="1">
        <f>bestsellers_with_categories[[#This Row],[Reviews]]*bestsellers_with_categories[[#This Row],[Price]]</f>
        <v>56292</v>
      </c>
      <c r="I354" t="str">
        <f>IF(bestsellers_with_categories[[#This Row],[User Rating]]&gt;40,"recommended","not recommended")</f>
        <v>recommended</v>
      </c>
    </row>
    <row r="355" spans="1:9" x14ac:dyDescent="0.3">
      <c r="A355" t="s">
        <v>177</v>
      </c>
      <c r="B355" t="s">
        <v>178</v>
      </c>
      <c r="C355">
        <v>48</v>
      </c>
      <c r="D355">
        <v>14038</v>
      </c>
      <c r="E355" s="1">
        <v>4</v>
      </c>
      <c r="F355">
        <v>2015</v>
      </c>
      <c r="G355" t="s">
        <v>12</v>
      </c>
      <c r="H355" s="1">
        <f>bestsellers_with_categories[[#This Row],[Reviews]]*bestsellers_with_categories[[#This Row],[Price]]</f>
        <v>56152</v>
      </c>
      <c r="I355" t="str">
        <f>IF(bestsellers_with_categories[[#This Row],[User Rating]]&gt;40,"recommended","not recommended")</f>
        <v>recommended</v>
      </c>
    </row>
    <row r="356" spans="1:9" x14ac:dyDescent="0.3">
      <c r="A356" t="s">
        <v>177</v>
      </c>
      <c r="B356" t="s">
        <v>178</v>
      </c>
      <c r="C356">
        <v>48</v>
      </c>
      <c r="D356">
        <v>14038</v>
      </c>
      <c r="E356" s="1">
        <v>4</v>
      </c>
      <c r="F356">
        <v>2016</v>
      </c>
      <c r="G356" t="s">
        <v>12</v>
      </c>
      <c r="H356" s="1">
        <f>bestsellers_with_categories[[#This Row],[Reviews]]*bestsellers_with_categories[[#This Row],[Price]]</f>
        <v>56152</v>
      </c>
      <c r="I356" t="str">
        <f>IF(bestsellers_with_categories[[#This Row],[User Rating]]&gt;40,"recommended","not recommended")</f>
        <v>recommended</v>
      </c>
    </row>
    <row r="357" spans="1:9" x14ac:dyDescent="0.3">
      <c r="A357" t="s">
        <v>177</v>
      </c>
      <c r="B357" t="s">
        <v>178</v>
      </c>
      <c r="C357">
        <v>48</v>
      </c>
      <c r="D357">
        <v>14038</v>
      </c>
      <c r="E357" s="1">
        <v>4</v>
      </c>
      <c r="F357">
        <v>2017</v>
      </c>
      <c r="G357" t="s">
        <v>12</v>
      </c>
      <c r="H357" s="1">
        <f>bestsellers_with_categories[[#This Row],[Reviews]]*bestsellers_with_categories[[#This Row],[Price]]</f>
        <v>56152</v>
      </c>
      <c r="I357" t="str">
        <f>IF(bestsellers_with_categories[[#This Row],[User Rating]]&gt;40,"recommended","not recommended")</f>
        <v>recommended</v>
      </c>
    </row>
    <row r="358" spans="1:9" x14ac:dyDescent="0.3">
      <c r="A358" t="s">
        <v>177</v>
      </c>
      <c r="B358" t="s">
        <v>178</v>
      </c>
      <c r="C358">
        <v>48</v>
      </c>
      <c r="D358">
        <v>14038</v>
      </c>
      <c r="E358" s="1">
        <v>4</v>
      </c>
      <c r="F358">
        <v>2018</v>
      </c>
      <c r="G358" t="s">
        <v>12</v>
      </c>
      <c r="H358" s="1">
        <f>bestsellers_with_categories[[#This Row],[Reviews]]*bestsellers_with_categories[[#This Row],[Price]]</f>
        <v>56152</v>
      </c>
      <c r="I358" t="str">
        <f>IF(bestsellers_with_categories[[#This Row],[User Rating]]&gt;40,"recommended","not recommended")</f>
        <v>recommended</v>
      </c>
    </row>
    <row r="359" spans="1:9" x14ac:dyDescent="0.3">
      <c r="A359" t="s">
        <v>177</v>
      </c>
      <c r="B359" t="s">
        <v>178</v>
      </c>
      <c r="C359">
        <v>48</v>
      </c>
      <c r="D359">
        <v>14038</v>
      </c>
      <c r="E359" s="1">
        <v>4</v>
      </c>
      <c r="F359">
        <v>2019</v>
      </c>
      <c r="G359" t="s">
        <v>12</v>
      </c>
      <c r="H359" s="1">
        <f>bestsellers_with_categories[[#This Row],[Reviews]]*bestsellers_with_categories[[#This Row],[Price]]</f>
        <v>56152</v>
      </c>
      <c r="I359" t="str">
        <f>IF(bestsellers_with_categories[[#This Row],[User Rating]]&gt;40,"recommended","not recommended")</f>
        <v>recommended</v>
      </c>
    </row>
    <row r="360" spans="1:9" x14ac:dyDescent="0.3">
      <c r="A360" t="s">
        <v>304</v>
      </c>
      <c r="B360" t="s">
        <v>305</v>
      </c>
      <c r="C360">
        <v>46</v>
      </c>
      <c r="D360">
        <v>5542</v>
      </c>
      <c r="E360" s="1">
        <v>10</v>
      </c>
      <c r="F360">
        <v>2014</v>
      </c>
      <c r="G360" t="s">
        <v>9</v>
      </c>
      <c r="H360" s="1">
        <f>bestsellers_with_categories[[#This Row],[Reviews]]*bestsellers_with_categories[[#This Row],[Price]]</f>
        <v>55420</v>
      </c>
      <c r="I360" t="str">
        <f>IF(bestsellers_with_categories[[#This Row],[User Rating]]&gt;40,"recommended","not recommended")</f>
        <v>recommended</v>
      </c>
    </row>
    <row r="361" spans="1:9" x14ac:dyDescent="0.3">
      <c r="A361" t="s">
        <v>304</v>
      </c>
      <c r="B361" t="s">
        <v>305</v>
      </c>
      <c r="C361">
        <v>46</v>
      </c>
      <c r="D361">
        <v>5542</v>
      </c>
      <c r="E361" s="1">
        <v>10</v>
      </c>
      <c r="F361">
        <v>2015</v>
      </c>
      <c r="G361" t="s">
        <v>9</v>
      </c>
      <c r="H361" s="1">
        <f>bestsellers_with_categories[[#This Row],[Reviews]]*bestsellers_with_categories[[#This Row],[Price]]</f>
        <v>55420</v>
      </c>
      <c r="I361" t="str">
        <f>IF(bestsellers_with_categories[[#This Row],[User Rating]]&gt;40,"recommended","not recommended")</f>
        <v>recommended</v>
      </c>
    </row>
    <row r="362" spans="1:9" x14ac:dyDescent="0.3">
      <c r="A362" t="s">
        <v>304</v>
      </c>
      <c r="B362" t="s">
        <v>305</v>
      </c>
      <c r="C362">
        <v>46</v>
      </c>
      <c r="D362">
        <v>5542</v>
      </c>
      <c r="E362" s="1">
        <v>10</v>
      </c>
      <c r="F362">
        <v>2016</v>
      </c>
      <c r="G362" t="s">
        <v>9</v>
      </c>
      <c r="H362" s="1">
        <f>bestsellers_with_categories[[#This Row],[Reviews]]*bestsellers_with_categories[[#This Row],[Price]]</f>
        <v>55420</v>
      </c>
      <c r="I362" t="str">
        <f>IF(bestsellers_with_categories[[#This Row],[User Rating]]&gt;40,"recommended","not recommended")</f>
        <v>recommended</v>
      </c>
    </row>
    <row r="363" spans="1:9" x14ac:dyDescent="0.3">
      <c r="A363" t="s">
        <v>472</v>
      </c>
      <c r="B363" t="s">
        <v>473</v>
      </c>
      <c r="C363">
        <v>44</v>
      </c>
      <c r="D363">
        <v>4247</v>
      </c>
      <c r="E363" s="1">
        <v>13</v>
      </c>
      <c r="F363">
        <v>2011</v>
      </c>
      <c r="G363" t="s">
        <v>9</v>
      </c>
      <c r="H363" s="1">
        <f>bestsellers_with_categories[[#This Row],[Reviews]]*bestsellers_with_categories[[#This Row],[Price]]</f>
        <v>55211</v>
      </c>
      <c r="I363" t="str">
        <f>IF(bestsellers_with_categories[[#This Row],[User Rating]]&gt;40,"recommended","not recommended")</f>
        <v>recommended</v>
      </c>
    </row>
    <row r="364" spans="1:9" x14ac:dyDescent="0.3">
      <c r="A364" t="s">
        <v>472</v>
      </c>
      <c r="B364" t="s">
        <v>473</v>
      </c>
      <c r="C364">
        <v>44</v>
      </c>
      <c r="D364">
        <v>4247</v>
      </c>
      <c r="E364" s="1">
        <v>13</v>
      </c>
      <c r="F364">
        <v>2012</v>
      </c>
      <c r="G364" t="s">
        <v>9</v>
      </c>
      <c r="H364" s="1">
        <f>bestsellers_with_categories[[#This Row],[Reviews]]*bestsellers_with_categories[[#This Row],[Price]]</f>
        <v>55211</v>
      </c>
      <c r="I364" t="str">
        <f>IF(bestsellers_with_categories[[#This Row],[User Rating]]&gt;40,"recommended","not recommended")</f>
        <v>recommended</v>
      </c>
    </row>
    <row r="365" spans="1:9" x14ac:dyDescent="0.3">
      <c r="A365" t="s">
        <v>108</v>
      </c>
      <c r="B365" t="s">
        <v>109</v>
      </c>
      <c r="C365">
        <v>48</v>
      </c>
      <c r="D365">
        <v>10922</v>
      </c>
      <c r="E365" s="1">
        <v>5</v>
      </c>
      <c r="F365">
        <v>2015</v>
      </c>
      <c r="G365" t="s">
        <v>12</v>
      </c>
      <c r="H365" s="1">
        <f>bestsellers_with_categories[[#This Row],[Reviews]]*bestsellers_with_categories[[#This Row],[Price]]</f>
        <v>54610</v>
      </c>
      <c r="I365" t="str">
        <f>IF(bestsellers_with_categories[[#This Row],[User Rating]]&gt;40,"recommended","not recommended")</f>
        <v>recommended</v>
      </c>
    </row>
    <row r="366" spans="1:9" x14ac:dyDescent="0.3">
      <c r="A366" t="s">
        <v>108</v>
      </c>
      <c r="B366" t="s">
        <v>109</v>
      </c>
      <c r="C366">
        <v>48</v>
      </c>
      <c r="D366">
        <v>10922</v>
      </c>
      <c r="E366" s="1">
        <v>5</v>
      </c>
      <c r="F366">
        <v>2016</v>
      </c>
      <c r="G366" t="s">
        <v>12</v>
      </c>
      <c r="H366" s="1">
        <f>bestsellers_with_categories[[#This Row],[Reviews]]*bestsellers_with_categories[[#This Row],[Price]]</f>
        <v>54610</v>
      </c>
      <c r="I366" t="str">
        <f>IF(bestsellers_with_categories[[#This Row],[User Rating]]&gt;40,"recommended","not recommended")</f>
        <v>recommended</v>
      </c>
    </row>
    <row r="367" spans="1:9" x14ac:dyDescent="0.3">
      <c r="A367" t="s">
        <v>108</v>
      </c>
      <c r="B367" t="s">
        <v>109</v>
      </c>
      <c r="C367">
        <v>48</v>
      </c>
      <c r="D367">
        <v>10922</v>
      </c>
      <c r="E367" s="1">
        <v>5</v>
      </c>
      <c r="F367">
        <v>2017</v>
      </c>
      <c r="G367" t="s">
        <v>12</v>
      </c>
      <c r="H367" s="1">
        <f>bestsellers_with_categories[[#This Row],[Reviews]]*bestsellers_with_categories[[#This Row],[Price]]</f>
        <v>54610</v>
      </c>
      <c r="I367" t="str">
        <f>IF(bestsellers_with_categories[[#This Row],[User Rating]]&gt;40,"recommended","not recommended")</f>
        <v>recommended</v>
      </c>
    </row>
    <row r="368" spans="1:9" x14ac:dyDescent="0.3">
      <c r="A368" t="s">
        <v>108</v>
      </c>
      <c r="B368" t="s">
        <v>109</v>
      </c>
      <c r="C368">
        <v>48</v>
      </c>
      <c r="D368">
        <v>10922</v>
      </c>
      <c r="E368" s="1">
        <v>5</v>
      </c>
      <c r="F368">
        <v>2018</v>
      </c>
      <c r="G368" t="s">
        <v>12</v>
      </c>
      <c r="H368" s="1">
        <f>bestsellers_with_categories[[#This Row],[Reviews]]*bestsellers_with_categories[[#This Row],[Price]]</f>
        <v>54610</v>
      </c>
      <c r="I368" t="str">
        <f>IF(bestsellers_with_categories[[#This Row],[User Rating]]&gt;40,"recommended","not recommended")</f>
        <v>recommended</v>
      </c>
    </row>
    <row r="369" spans="1:9" x14ac:dyDescent="0.3">
      <c r="A369" t="s">
        <v>321</v>
      </c>
      <c r="B369" t="s">
        <v>322</v>
      </c>
      <c r="C369">
        <v>42</v>
      </c>
      <c r="D369" s="12">
        <v>4519</v>
      </c>
      <c r="E369" s="1">
        <v>12</v>
      </c>
      <c r="F369">
        <v>2009</v>
      </c>
      <c r="G369" s="11" t="s">
        <v>12</v>
      </c>
      <c r="H369" s="1">
        <f>bestsellers_with_categories[[#This Row],[Reviews]]*bestsellers_with_categories[[#This Row],[Price]]</f>
        <v>54228</v>
      </c>
      <c r="I369" t="str">
        <f>IF(bestsellers_with_categories[[#This Row],[User Rating]]&gt;40,"recommended","not recommended")</f>
        <v>recommended</v>
      </c>
    </row>
    <row r="370" spans="1:9" x14ac:dyDescent="0.3">
      <c r="A370" t="s">
        <v>330</v>
      </c>
      <c r="B370" t="s">
        <v>331</v>
      </c>
      <c r="C370">
        <v>47</v>
      </c>
      <c r="D370">
        <v>10820</v>
      </c>
      <c r="E370" s="1">
        <v>5</v>
      </c>
      <c r="F370">
        <v>2018</v>
      </c>
      <c r="G370" t="s">
        <v>9</v>
      </c>
      <c r="H370" s="1">
        <f>bestsellers_with_categories[[#This Row],[Reviews]]*bestsellers_with_categories[[#This Row],[Price]]</f>
        <v>54100</v>
      </c>
      <c r="I370" t="str">
        <f>IF(bestsellers_with_categories[[#This Row],[User Rating]]&gt;40,"recommended","not recommended")</f>
        <v>recommended</v>
      </c>
    </row>
    <row r="371" spans="1:9" x14ac:dyDescent="0.3">
      <c r="A371" t="s">
        <v>330</v>
      </c>
      <c r="B371" t="s">
        <v>331</v>
      </c>
      <c r="C371">
        <v>47</v>
      </c>
      <c r="D371">
        <v>10820</v>
      </c>
      <c r="E371" s="1">
        <v>5</v>
      </c>
      <c r="F371">
        <v>2019</v>
      </c>
      <c r="G371" t="s">
        <v>9</v>
      </c>
      <c r="H371" s="1">
        <f>bestsellers_with_categories[[#This Row],[Reviews]]*bestsellers_with_categories[[#This Row],[Price]]</f>
        <v>54100</v>
      </c>
      <c r="I371" t="str">
        <f>IF(bestsellers_with_categories[[#This Row],[User Rating]]&gt;40,"recommended","not recommended")</f>
        <v>recommended</v>
      </c>
    </row>
    <row r="372" spans="1:9" x14ac:dyDescent="0.3">
      <c r="A372" t="s">
        <v>98</v>
      </c>
      <c r="B372" t="s">
        <v>99</v>
      </c>
      <c r="C372">
        <v>46</v>
      </c>
      <c r="D372">
        <v>4866</v>
      </c>
      <c r="E372" s="1">
        <v>11</v>
      </c>
      <c r="F372">
        <v>2010</v>
      </c>
      <c r="G372" t="s">
        <v>12</v>
      </c>
      <c r="H372" s="1">
        <f>bestsellers_with_categories[[#This Row],[Reviews]]*bestsellers_with_categories[[#This Row],[Price]]</f>
        <v>53526</v>
      </c>
      <c r="I372" t="str">
        <f>IF(bestsellers_with_categories[[#This Row],[User Rating]]&gt;40,"recommended","not recommended")</f>
        <v>recommended</v>
      </c>
    </row>
    <row r="373" spans="1:9" x14ac:dyDescent="0.3">
      <c r="A373" t="s">
        <v>98</v>
      </c>
      <c r="B373" t="s">
        <v>99</v>
      </c>
      <c r="C373">
        <v>46</v>
      </c>
      <c r="D373">
        <v>4866</v>
      </c>
      <c r="E373" s="1">
        <v>11</v>
      </c>
      <c r="F373">
        <v>2011</v>
      </c>
      <c r="G373" t="s">
        <v>12</v>
      </c>
      <c r="H373" s="1">
        <f>bestsellers_with_categories[[#This Row],[Reviews]]*bestsellers_with_categories[[#This Row],[Price]]</f>
        <v>53526</v>
      </c>
      <c r="I373" t="str">
        <f>IF(bestsellers_with_categories[[#This Row],[User Rating]]&gt;40,"recommended","not recommended")</f>
        <v>recommended</v>
      </c>
    </row>
    <row r="374" spans="1:9" x14ac:dyDescent="0.3">
      <c r="A374" t="s">
        <v>264</v>
      </c>
      <c r="B374" t="s">
        <v>259</v>
      </c>
      <c r="C374">
        <v>48</v>
      </c>
      <c r="D374">
        <v>8916</v>
      </c>
      <c r="E374" s="1">
        <v>6</v>
      </c>
      <c r="F374">
        <v>2016</v>
      </c>
      <c r="G374" t="s">
        <v>9</v>
      </c>
      <c r="H374" s="1">
        <f>bestsellers_with_categories[[#This Row],[Reviews]]*bestsellers_with_categories[[#This Row],[Price]]</f>
        <v>53496</v>
      </c>
      <c r="I374" t="str">
        <f>IF(bestsellers_with_categories[[#This Row],[User Rating]]&gt;40,"recommended","not recommended")</f>
        <v>recommended</v>
      </c>
    </row>
    <row r="375" spans="1:9" x14ac:dyDescent="0.3">
      <c r="A375" t="s">
        <v>229</v>
      </c>
      <c r="B375" t="s">
        <v>230</v>
      </c>
      <c r="C375">
        <v>48</v>
      </c>
      <c r="D375">
        <v>3490</v>
      </c>
      <c r="E375" s="1">
        <v>15</v>
      </c>
      <c r="F375">
        <v>2013</v>
      </c>
      <c r="G375" t="s">
        <v>9</v>
      </c>
      <c r="H375" s="1">
        <f>bestsellers_with_categories[[#This Row],[Reviews]]*bestsellers_with_categories[[#This Row],[Price]]</f>
        <v>52350</v>
      </c>
      <c r="I375" t="str">
        <f>IF(bestsellers_with_categories[[#This Row],[User Rating]]&gt;40,"recommended","not recommended")</f>
        <v>recommended</v>
      </c>
    </row>
    <row r="376" spans="1:9" x14ac:dyDescent="0.3">
      <c r="A376" t="s">
        <v>229</v>
      </c>
      <c r="B376" t="s">
        <v>230</v>
      </c>
      <c r="C376">
        <v>48</v>
      </c>
      <c r="D376">
        <v>3490</v>
      </c>
      <c r="E376" s="1">
        <v>15</v>
      </c>
      <c r="F376">
        <v>2014</v>
      </c>
      <c r="G376" t="s">
        <v>9</v>
      </c>
      <c r="H376" s="1">
        <f>bestsellers_with_categories[[#This Row],[Reviews]]*bestsellers_with_categories[[#This Row],[Price]]</f>
        <v>52350</v>
      </c>
      <c r="I376" t="str">
        <f>IF(bestsellers_with_categories[[#This Row],[User Rating]]&gt;40,"recommended","not recommended")</f>
        <v>recommended</v>
      </c>
    </row>
    <row r="377" spans="1:9" x14ac:dyDescent="0.3">
      <c r="A377" t="s">
        <v>465</v>
      </c>
      <c r="B377" t="s">
        <v>466</v>
      </c>
      <c r="C377">
        <v>43</v>
      </c>
      <c r="D377">
        <v>7368</v>
      </c>
      <c r="E377" s="1">
        <v>7</v>
      </c>
      <c r="F377">
        <v>2017</v>
      </c>
      <c r="G377" t="s">
        <v>9</v>
      </c>
      <c r="H377" s="1">
        <f>bestsellers_with_categories[[#This Row],[Reviews]]*bestsellers_with_categories[[#This Row],[Price]]</f>
        <v>51576</v>
      </c>
      <c r="I377" t="str">
        <f>IF(bestsellers_with_categories[[#This Row],[User Rating]]&gt;40,"recommended","not recommended")</f>
        <v>recommended</v>
      </c>
    </row>
    <row r="378" spans="1:9" x14ac:dyDescent="0.3">
      <c r="A378" t="s">
        <v>465</v>
      </c>
      <c r="B378" t="s">
        <v>466</v>
      </c>
      <c r="C378">
        <v>43</v>
      </c>
      <c r="D378">
        <v>7368</v>
      </c>
      <c r="E378" s="1">
        <v>7</v>
      </c>
      <c r="F378">
        <v>2018</v>
      </c>
      <c r="G378" t="s">
        <v>9</v>
      </c>
      <c r="H378" s="1">
        <f>bestsellers_with_categories[[#This Row],[Reviews]]*bestsellers_with_categories[[#This Row],[Price]]</f>
        <v>51576</v>
      </c>
      <c r="I378" t="str">
        <f>IF(bestsellers_with_categories[[#This Row],[User Rating]]&gt;40,"recommended","not recommended")</f>
        <v>recommended</v>
      </c>
    </row>
    <row r="379" spans="1:9" x14ac:dyDescent="0.3">
      <c r="A379" t="s">
        <v>380</v>
      </c>
      <c r="B379" t="s">
        <v>381</v>
      </c>
      <c r="C379">
        <v>43</v>
      </c>
      <c r="D379">
        <v>2314</v>
      </c>
      <c r="E379" s="1">
        <v>22</v>
      </c>
      <c r="F379">
        <v>2011</v>
      </c>
      <c r="G379" t="s">
        <v>9</v>
      </c>
      <c r="H379" s="1">
        <f>bestsellers_with_categories[[#This Row],[Reviews]]*bestsellers_with_categories[[#This Row],[Price]]</f>
        <v>50908</v>
      </c>
      <c r="I379" t="str">
        <f>IF(bestsellers_with_categories[[#This Row],[User Rating]]&gt;40,"recommended","not recommended")</f>
        <v>recommended</v>
      </c>
    </row>
    <row r="380" spans="1:9" x14ac:dyDescent="0.3">
      <c r="A380" t="s">
        <v>280</v>
      </c>
      <c r="B380" t="s">
        <v>281</v>
      </c>
      <c r="C380">
        <v>45</v>
      </c>
      <c r="D380">
        <v>2752</v>
      </c>
      <c r="E380" s="1">
        <v>18</v>
      </c>
      <c r="F380">
        <v>2010</v>
      </c>
      <c r="G380" t="s">
        <v>9</v>
      </c>
      <c r="H380" s="1">
        <f>bestsellers_with_categories[[#This Row],[Reviews]]*bestsellers_with_categories[[#This Row],[Price]]</f>
        <v>49536</v>
      </c>
      <c r="I380" t="str">
        <f>IF(bestsellers_with_categories[[#This Row],[User Rating]]&gt;40,"recommended","not recommended")</f>
        <v>recommended</v>
      </c>
    </row>
    <row r="381" spans="1:9" x14ac:dyDescent="0.3">
      <c r="A381" t="s">
        <v>523</v>
      </c>
      <c r="B381" t="s">
        <v>301</v>
      </c>
      <c r="C381">
        <v>47</v>
      </c>
      <c r="D381">
        <v>5487</v>
      </c>
      <c r="E381" s="1">
        <v>9</v>
      </c>
      <c r="F381">
        <v>2017</v>
      </c>
      <c r="G381" t="s">
        <v>9</v>
      </c>
      <c r="H381" s="1">
        <f>bestsellers_with_categories[[#This Row],[Reviews]]*bestsellers_with_categories[[#This Row],[Price]]</f>
        <v>49383</v>
      </c>
      <c r="I381" t="str">
        <f>IF(bestsellers_with_categories[[#This Row],[User Rating]]&gt;40,"recommended","not recommended")</f>
        <v>recommended</v>
      </c>
    </row>
    <row r="382" spans="1:9" x14ac:dyDescent="0.3">
      <c r="A382" t="s">
        <v>197</v>
      </c>
      <c r="B382" t="s">
        <v>198</v>
      </c>
      <c r="C382">
        <v>49</v>
      </c>
      <c r="D382">
        <v>7038</v>
      </c>
      <c r="E382" s="1">
        <v>7</v>
      </c>
      <c r="F382">
        <v>2012</v>
      </c>
      <c r="G382" t="s">
        <v>12</v>
      </c>
      <c r="H382" s="1">
        <f>bestsellers_with_categories[[#This Row],[Reviews]]*bestsellers_with_categories[[#This Row],[Price]]</f>
        <v>49266</v>
      </c>
      <c r="I382" t="str">
        <f>IF(bestsellers_with_categories[[#This Row],[User Rating]]&gt;40,"recommended","not recommended")</f>
        <v>recommended</v>
      </c>
    </row>
    <row r="383" spans="1:9" x14ac:dyDescent="0.3">
      <c r="A383" t="s">
        <v>197</v>
      </c>
      <c r="B383" t="s">
        <v>198</v>
      </c>
      <c r="C383">
        <v>49</v>
      </c>
      <c r="D383">
        <v>7038</v>
      </c>
      <c r="E383" s="1">
        <v>7</v>
      </c>
      <c r="F383">
        <v>2013</v>
      </c>
      <c r="G383" t="s">
        <v>12</v>
      </c>
      <c r="H383" s="1">
        <f>bestsellers_with_categories[[#This Row],[Reviews]]*bestsellers_with_categories[[#This Row],[Price]]</f>
        <v>49266</v>
      </c>
      <c r="I383" t="str">
        <f>IF(bestsellers_with_categories[[#This Row],[User Rating]]&gt;40,"recommended","not recommended")</f>
        <v>recommended</v>
      </c>
    </row>
    <row r="384" spans="1:9" x14ac:dyDescent="0.3">
      <c r="A384" t="s">
        <v>93</v>
      </c>
      <c r="B384" t="s">
        <v>94</v>
      </c>
      <c r="C384">
        <v>43</v>
      </c>
      <c r="D384">
        <v>6143</v>
      </c>
      <c r="E384" s="1">
        <v>8</v>
      </c>
      <c r="F384">
        <v>2018</v>
      </c>
      <c r="G384" t="s">
        <v>12</v>
      </c>
      <c r="H384" s="1">
        <f>bestsellers_with_categories[[#This Row],[Reviews]]*bestsellers_with_categories[[#This Row],[Price]]</f>
        <v>49144</v>
      </c>
      <c r="I384" t="str">
        <f>IF(bestsellers_with_categories[[#This Row],[User Rating]]&gt;40,"recommended","not recommended")</f>
        <v>recommended</v>
      </c>
    </row>
    <row r="385" spans="1:9" x14ac:dyDescent="0.3">
      <c r="A385" t="s">
        <v>505</v>
      </c>
      <c r="B385" t="s">
        <v>506</v>
      </c>
      <c r="C385">
        <v>48</v>
      </c>
      <c r="D385">
        <v>9784</v>
      </c>
      <c r="E385" s="1">
        <v>5</v>
      </c>
      <c r="F385">
        <v>2017</v>
      </c>
      <c r="G385" t="s">
        <v>12</v>
      </c>
      <c r="H385" s="1">
        <f>bestsellers_with_categories[[#This Row],[Reviews]]*bestsellers_with_categories[[#This Row],[Price]]</f>
        <v>48920</v>
      </c>
      <c r="I385" t="str">
        <f>IF(bestsellers_with_categories[[#This Row],[User Rating]]&gt;40,"recommended","not recommended")</f>
        <v>recommended</v>
      </c>
    </row>
    <row r="386" spans="1:9" x14ac:dyDescent="0.3">
      <c r="A386" t="s">
        <v>505</v>
      </c>
      <c r="B386" t="s">
        <v>506</v>
      </c>
      <c r="C386">
        <v>48</v>
      </c>
      <c r="D386">
        <v>9784</v>
      </c>
      <c r="E386" s="1">
        <v>5</v>
      </c>
      <c r="F386">
        <v>2018</v>
      </c>
      <c r="G386" t="s">
        <v>12</v>
      </c>
      <c r="H386" s="1">
        <f>bestsellers_with_categories[[#This Row],[Reviews]]*bestsellers_with_categories[[#This Row],[Price]]</f>
        <v>48920</v>
      </c>
      <c r="I386" t="str">
        <f>IF(bestsellers_with_categories[[#This Row],[User Rating]]&gt;40,"recommended","not recommended")</f>
        <v>recommended</v>
      </c>
    </row>
    <row r="387" spans="1:9" x14ac:dyDescent="0.3">
      <c r="A387" t="s">
        <v>148</v>
      </c>
      <c r="B387" t="s">
        <v>149</v>
      </c>
      <c r="C387">
        <v>47</v>
      </c>
      <c r="D387">
        <v>5413</v>
      </c>
      <c r="E387" s="1">
        <v>9</v>
      </c>
      <c r="F387">
        <v>2015</v>
      </c>
      <c r="G387" t="s">
        <v>9</v>
      </c>
      <c r="H387" s="1">
        <f>bestsellers_with_categories[[#This Row],[Reviews]]*bestsellers_with_categories[[#This Row],[Price]]</f>
        <v>48717</v>
      </c>
      <c r="I387" t="str">
        <f>IF(bestsellers_with_categories[[#This Row],[User Rating]]&gt;40,"recommended","not recommended")</f>
        <v>recommended</v>
      </c>
    </row>
    <row r="388" spans="1:9" x14ac:dyDescent="0.3">
      <c r="A388" t="s">
        <v>193</v>
      </c>
      <c r="B388" t="s">
        <v>194</v>
      </c>
      <c r="C388">
        <v>45</v>
      </c>
      <c r="D388" s="12">
        <v>3457</v>
      </c>
      <c r="E388" s="1">
        <v>14</v>
      </c>
      <c r="F388">
        <v>2009</v>
      </c>
      <c r="G388" s="11" t="s">
        <v>9</v>
      </c>
      <c r="H388" s="1">
        <f>bestsellers_with_categories[[#This Row],[Reviews]]*bestsellers_with_categories[[#This Row],[Price]]</f>
        <v>48398</v>
      </c>
      <c r="I388" t="str">
        <f>IF(bestsellers_with_categories[[#This Row],[User Rating]]&gt;40,"recommended","not recommended")</f>
        <v>recommended</v>
      </c>
    </row>
    <row r="389" spans="1:9" x14ac:dyDescent="0.3">
      <c r="A389" t="s">
        <v>193</v>
      </c>
      <c r="B389" t="s">
        <v>194</v>
      </c>
      <c r="C389">
        <v>45</v>
      </c>
      <c r="D389">
        <v>3457</v>
      </c>
      <c r="E389" s="1">
        <v>14</v>
      </c>
      <c r="F389">
        <v>2010</v>
      </c>
      <c r="G389" t="s">
        <v>9</v>
      </c>
      <c r="H389" s="1">
        <f>bestsellers_with_categories[[#This Row],[Reviews]]*bestsellers_with_categories[[#This Row],[Price]]</f>
        <v>48398</v>
      </c>
      <c r="I389" t="str">
        <f>IF(bestsellers_with_categories[[#This Row],[User Rating]]&gt;40,"recommended","not recommended")</f>
        <v>recommended</v>
      </c>
    </row>
    <row r="390" spans="1:9" x14ac:dyDescent="0.3">
      <c r="A390" t="s">
        <v>193</v>
      </c>
      <c r="B390" t="s">
        <v>194</v>
      </c>
      <c r="C390">
        <v>45</v>
      </c>
      <c r="D390">
        <v>3457</v>
      </c>
      <c r="E390" s="1">
        <v>14</v>
      </c>
      <c r="F390">
        <v>2011</v>
      </c>
      <c r="G390" t="s">
        <v>9</v>
      </c>
      <c r="H390" s="1">
        <f>bestsellers_with_categories[[#This Row],[Reviews]]*bestsellers_with_categories[[#This Row],[Price]]</f>
        <v>48398</v>
      </c>
      <c r="I390" t="str">
        <f>IF(bestsellers_with_categories[[#This Row],[User Rating]]&gt;40,"recommended","not recommended")</f>
        <v>recommended</v>
      </c>
    </row>
    <row r="391" spans="1:9" x14ac:dyDescent="0.3">
      <c r="A391" t="s">
        <v>193</v>
      </c>
      <c r="B391" t="s">
        <v>194</v>
      </c>
      <c r="C391">
        <v>45</v>
      </c>
      <c r="D391">
        <v>3457</v>
      </c>
      <c r="E391" s="1">
        <v>14</v>
      </c>
      <c r="F391">
        <v>2012</v>
      </c>
      <c r="G391" t="s">
        <v>9</v>
      </c>
      <c r="H391" s="1">
        <f>bestsellers_with_categories[[#This Row],[Reviews]]*bestsellers_with_categories[[#This Row],[Price]]</f>
        <v>48398</v>
      </c>
      <c r="I391" t="str">
        <f>IF(bestsellers_with_categories[[#This Row],[User Rating]]&gt;40,"recommended","not recommended")</f>
        <v>recommended</v>
      </c>
    </row>
    <row r="392" spans="1:9" x14ac:dyDescent="0.3">
      <c r="A392" t="s">
        <v>493</v>
      </c>
      <c r="B392" t="s">
        <v>494</v>
      </c>
      <c r="C392">
        <v>44</v>
      </c>
      <c r="D392">
        <v>1201</v>
      </c>
      <c r="E392" s="1">
        <v>40</v>
      </c>
      <c r="F392">
        <v>2010</v>
      </c>
      <c r="G392" t="s">
        <v>9</v>
      </c>
      <c r="H392" s="1">
        <f>bestsellers_with_categories[[#This Row],[Reviews]]*bestsellers_with_categories[[#This Row],[Price]]</f>
        <v>48040</v>
      </c>
      <c r="I392" t="str">
        <f>IF(bestsellers_with_categories[[#This Row],[User Rating]]&gt;40,"recommended","not recommended")</f>
        <v>recommended</v>
      </c>
    </row>
    <row r="393" spans="1:9" x14ac:dyDescent="0.3">
      <c r="A393" t="s">
        <v>493</v>
      </c>
      <c r="B393" t="s">
        <v>494</v>
      </c>
      <c r="C393">
        <v>44</v>
      </c>
      <c r="D393">
        <v>1201</v>
      </c>
      <c r="E393" s="1">
        <v>40</v>
      </c>
      <c r="F393">
        <v>2011</v>
      </c>
      <c r="G393" t="s">
        <v>9</v>
      </c>
      <c r="H393" s="1">
        <f>bestsellers_with_categories[[#This Row],[Reviews]]*bestsellers_with_categories[[#This Row],[Price]]</f>
        <v>48040</v>
      </c>
      <c r="I393" t="str">
        <f>IF(bestsellers_with_categories[[#This Row],[User Rating]]&gt;40,"recommended","not recommended")</f>
        <v>recommended</v>
      </c>
    </row>
    <row r="394" spans="1:9" x14ac:dyDescent="0.3">
      <c r="A394" t="s">
        <v>493</v>
      </c>
      <c r="B394" t="s">
        <v>494</v>
      </c>
      <c r="C394">
        <v>44</v>
      </c>
      <c r="D394">
        <v>1201</v>
      </c>
      <c r="E394" s="1">
        <v>40</v>
      </c>
      <c r="F394">
        <v>2012</v>
      </c>
      <c r="G394" t="s">
        <v>9</v>
      </c>
      <c r="H394" s="1">
        <f>bestsellers_with_categories[[#This Row],[Reviews]]*bestsellers_with_categories[[#This Row],[Price]]</f>
        <v>48040</v>
      </c>
      <c r="I394" t="str">
        <f>IF(bestsellers_with_categories[[#This Row],[User Rating]]&gt;40,"recommended","not recommended")</f>
        <v>recommended</v>
      </c>
    </row>
    <row r="395" spans="1:9" x14ac:dyDescent="0.3">
      <c r="A395" t="s">
        <v>493</v>
      </c>
      <c r="B395" t="s">
        <v>494</v>
      </c>
      <c r="C395">
        <v>44</v>
      </c>
      <c r="D395">
        <v>1201</v>
      </c>
      <c r="E395" s="1">
        <v>40</v>
      </c>
      <c r="F395">
        <v>2013</v>
      </c>
      <c r="G395" t="s">
        <v>9</v>
      </c>
      <c r="H395" s="1">
        <f>bestsellers_with_categories[[#This Row],[Reviews]]*bestsellers_with_categories[[#This Row],[Price]]</f>
        <v>48040</v>
      </c>
      <c r="I395" t="str">
        <f>IF(bestsellers_with_categories[[#This Row],[User Rating]]&gt;40,"recommended","not recommended")</f>
        <v>recommended</v>
      </c>
    </row>
    <row r="396" spans="1:9" x14ac:dyDescent="0.3">
      <c r="A396" t="s">
        <v>493</v>
      </c>
      <c r="B396" t="s">
        <v>494</v>
      </c>
      <c r="C396">
        <v>44</v>
      </c>
      <c r="D396">
        <v>1201</v>
      </c>
      <c r="E396" s="1">
        <v>40</v>
      </c>
      <c r="F396">
        <v>2014</v>
      </c>
      <c r="G396" t="s">
        <v>9</v>
      </c>
      <c r="H396" s="1">
        <f>bestsellers_with_categories[[#This Row],[Reviews]]*bestsellers_with_categories[[#This Row],[Price]]</f>
        <v>48040</v>
      </c>
      <c r="I396" t="str">
        <f>IF(bestsellers_with_categories[[#This Row],[User Rating]]&gt;40,"recommended","not recommended")</f>
        <v>recommended</v>
      </c>
    </row>
    <row r="397" spans="1:9" x14ac:dyDescent="0.3">
      <c r="A397" t="s">
        <v>500</v>
      </c>
      <c r="B397" t="s">
        <v>499</v>
      </c>
      <c r="C397">
        <v>48</v>
      </c>
      <c r="D397">
        <v>3428</v>
      </c>
      <c r="E397" s="1">
        <v>14</v>
      </c>
      <c r="F397">
        <v>2015</v>
      </c>
      <c r="G397" t="s">
        <v>9</v>
      </c>
      <c r="H397" s="1">
        <f>bestsellers_with_categories[[#This Row],[Reviews]]*bestsellers_with_categories[[#This Row],[Price]]</f>
        <v>47992</v>
      </c>
      <c r="I397" t="str">
        <f>IF(bestsellers_with_categories[[#This Row],[User Rating]]&gt;40,"recommended","not recommended")</f>
        <v>recommended</v>
      </c>
    </row>
    <row r="398" spans="1:9" x14ac:dyDescent="0.3">
      <c r="A398" t="s">
        <v>561</v>
      </c>
      <c r="B398" t="s">
        <v>562</v>
      </c>
      <c r="C398">
        <v>48</v>
      </c>
      <c r="D398">
        <v>2282</v>
      </c>
      <c r="E398" s="1">
        <v>21</v>
      </c>
      <c r="F398">
        <v>2010</v>
      </c>
      <c r="G398" t="s">
        <v>12</v>
      </c>
      <c r="H398" s="1">
        <f>bestsellers_with_categories[[#This Row],[Reviews]]*bestsellers_with_categories[[#This Row],[Price]]</f>
        <v>47922</v>
      </c>
      <c r="I398" t="str">
        <f>IF(bestsellers_with_categories[[#This Row],[User Rating]]&gt;40,"recommended","not recommended")</f>
        <v>recommended</v>
      </c>
    </row>
    <row r="399" spans="1:9" x14ac:dyDescent="0.3">
      <c r="A399" t="s">
        <v>231</v>
      </c>
      <c r="B399" t="s">
        <v>230</v>
      </c>
      <c r="C399">
        <v>49</v>
      </c>
      <c r="D399">
        <v>2812</v>
      </c>
      <c r="E399" s="1">
        <v>17</v>
      </c>
      <c r="F399">
        <v>2015</v>
      </c>
      <c r="G399" t="s">
        <v>9</v>
      </c>
      <c r="H399" s="1">
        <f>bestsellers_with_categories[[#This Row],[Reviews]]*bestsellers_with_categories[[#This Row],[Price]]</f>
        <v>47804</v>
      </c>
      <c r="I399" t="str">
        <f>IF(bestsellers_with_categories[[#This Row],[User Rating]]&gt;40,"recommended","not recommended")</f>
        <v>recommended</v>
      </c>
    </row>
    <row r="400" spans="1:9" x14ac:dyDescent="0.3">
      <c r="A400" t="s">
        <v>488</v>
      </c>
      <c r="B400" t="s">
        <v>80</v>
      </c>
      <c r="C400">
        <v>48</v>
      </c>
      <c r="D400">
        <v>5898</v>
      </c>
      <c r="E400" s="1">
        <v>8</v>
      </c>
      <c r="F400">
        <v>2018</v>
      </c>
      <c r="G400" t="s">
        <v>12</v>
      </c>
      <c r="H400" s="1">
        <f>bestsellers_with_categories[[#This Row],[Reviews]]*bestsellers_with_categories[[#This Row],[Price]]</f>
        <v>47184</v>
      </c>
      <c r="I400" t="str">
        <f>IF(bestsellers_with_categories[[#This Row],[User Rating]]&gt;40,"recommended","not recommended")</f>
        <v>recommended</v>
      </c>
    </row>
    <row r="401" spans="1:9" x14ac:dyDescent="0.3">
      <c r="A401" t="s">
        <v>312</v>
      </c>
      <c r="B401" t="s">
        <v>313</v>
      </c>
      <c r="C401">
        <v>47</v>
      </c>
      <c r="D401">
        <v>5178</v>
      </c>
      <c r="E401" s="1">
        <v>9</v>
      </c>
      <c r="F401">
        <v>2016</v>
      </c>
      <c r="G401" t="s">
        <v>9</v>
      </c>
      <c r="H401" s="1">
        <f>bestsellers_with_categories[[#This Row],[Reviews]]*bestsellers_with_categories[[#This Row],[Price]]</f>
        <v>46602</v>
      </c>
      <c r="I401" t="str">
        <f>IF(bestsellers_with_categories[[#This Row],[User Rating]]&gt;40,"recommended","not recommended")</f>
        <v>recommended</v>
      </c>
    </row>
    <row r="402" spans="1:9" x14ac:dyDescent="0.3">
      <c r="A402" t="s">
        <v>351</v>
      </c>
      <c r="B402" t="s">
        <v>350</v>
      </c>
      <c r="C402">
        <v>49</v>
      </c>
      <c r="D402">
        <v>3836</v>
      </c>
      <c r="E402" s="1">
        <v>12</v>
      </c>
      <c r="F402">
        <v>2014</v>
      </c>
      <c r="G402" t="s">
        <v>12</v>
      </c>
      <c r="H402" s="1">
        <f>bestsellers_with_categories[[#This Row],[Reviews]]*bestsellers_with_categories[[#This Row],[Price]]</f>
        <v>46032</v>
      </c>
      <c r="I402" t="str">
        <f>IF(bestsellers_with_categories[[#This Row],[User Rating]]&gt;40,"recommended","not recommended")</f>
        <v>recommended</v>
      </c>
    </row>
    <row r="403" spans="1:9" x14ac:dyDescent="0.3">
      <c r="A403" t="s">
        <v>417</v>
      </c>
      <c r="B403" t="s">
        <v>377</v>
      </c>
      <c r="C403">
        <v>43</v>
      </c>
      <c r="D403">
        <v>3523</v>
      </c>
      <c r="E403" s="1">
        <v>13</v>
      </c>
      <c r="F403">
        <v>2010</v>
      </c>
      <c r="G403" t="s">
        <v>12</v>
      </c>
      <c r="H403" s="1">
        <f>bestsellers_with_categories[[#This Row],[Reviews]]*bestsellers_with_categories[[#This Row],[Price]]</f>
        <v>45799</v>
      </c>
      <c r="I403" t="str">
        <f>IF(bestsellers_with_categories[[#This Row],[User Rating]]&gt;40,"recommended","not recommended")</f>
        <v>recommended</v>
      </c>
    </row>
    <row r="404" spans="1:9" x14ac:dyDescent="0.3">
      <c r="A404" t="s">
        <v>206</v>
      </c>
      <c r="B404" t="s">
        <v>207</v>
      </c>
      <c r="C404">
        <v>48</v>
      </c>
      <c r="D404">
        <v>4148</v>
      </c>
      <c r="E404" s="1">
        <v>11</v>
      </c>
      <c r="F404">
        <v>2013</v>
      </c>
      <c r="G404" t="s">
        <v>9</v>
      </c>
      <c r="H404" s="1">
        <f>bestsellers_with_categories[[#This Row],[Reviews]]*bestsellers_with_categories[[#This Row],[Price]]</f>
        <v>45628</v>
      </c>
      <c r="I404" t="str">
        <f>IF(bestsellers_with_categories[[#This Row],[User Rating]]&gt;40,"recommended","not recommended")</f>
        <v>recommended</v>
      </c>
    </row>
    <row r="405" spans="1:9" x14ac:dyDescent="0.3">
      <c r="A405" t="s">
        <v>532</v>
      </c>
      <c r="B405" t="s">
        <v>80</v>
      </c>
      <c r="C405">
        <v>48</v>
      </c>
      <c r="D405">
        <v>3796</v>
      </c>
      <c r="E405" s="1">
        <v>12</v>
      </c>
      <c r="F405">
        <v>2010</v>
      </c>
      <c r="G405" t="s">
        <v>12</v>
      </c>
      <c r="H405" s="1">
        <f>bestsellers_with_categories[[#This Row],[Reviews]]*bestsellers_with_categories[[#This Row],[Price]]</f>
        <v>45552</v>
      </c>
      <c r="I405" t="str">
        <f>IF(bestsellers_with_categories[[#This Row],[User Rating]]&gt;40,"recommended","not recommended")</f>
        <v>recommended</v>
      </c>
    </row>
    <row r="406" spans="1:9" x14ac:dyDescent="0.3">
      <c r="A406" t="s">
        <v>404</v>
      </c>
      <c r="B406" t="s">
        <v>405</v>
      </c>
      <c r="C406">
        <v>47</v>
      </c>
      <c r="D406" s="12">
        <v>858</v>
      </c>
      <c r="E406" s="1">
        <v>53</v>
      </c>
      <c r="F406">
        <v>2009</v>
      </c>
      <c r="G406" s="11" t="s">
        <v>9</v>
      </c>
      <c r="H406" s="1">
        <f>bestsellers_with_categories[[#This Row],[Reviews]]*bestsellers_with_categories[[#This Row],[Price]]</f>
        <v>45474</v>
      </c>
      <c r="I406" t="str">
        <f>IF(bestsellers_with_categories[[#This Row],[User Rating]]&gt;40,"recommended","not recommended")</f>
        <v>recommended</v>
      </c>
    </row>
    <row r="407" spans="1:9" x14ac:dyDescent="0.3">
      <c r="A407" t="s">
        <v>276</v>
      </c>
      <c r="B407" t="s">
        <v>277</v>
      </c>
      <c r="C407">
        <v>44</v>
      </c>
      <c r="D407">
        <v>7550</v>
      </c>
      <c r="E407" s="1">
        <v>6</v>
      </c>
      <c r="F407">
        <v>2018</v>
      </c>
      <c r="G407" t="s">
        <v>9</v>
      </c>
      <c r="H407" s="1">
        <f>bestsellers_with_categories[[#This Row],[Reviews]]*bestsellers_with_categories[[#This Row],[Price]]</f>
        <v>45300</v>
      </c>
      <c r="I407" t="str">
        <f>IF(bestsellers_with_categories[[#This Row],[User Rating]]&gt;40,"recommended","not recommended")</f>
        <v>recommended</v>
      </c>
    </row>
    <row r="408" spans="1:9" x14ac:dyDescent="0.3">
      <c r="A408" t="s">
        <v>498</v>
      </c>
      <c r="B408" t="s">
        <v>499</v>
      </c>
      <c r="C408">
        <v>48</v>
      </c>
      <c r="D408">
        <v>2663</v>
      </c>
      <c r="E408" s="1">
        <v>17</v>
      </c>
      <c r="F408">
        <v>2013</v>
      </c>
      <c r="G408" t="s">
        <v>9</v>
      </c>
      <c r="H408" s="1">
        <f>bestsellers_with_categories[[#This Row],[Reviews]]*bestsellers_with_categories[[#This Row],[Price]]</f>
        <v>45271</v>
      </c>
      <c r="I408" t="str">
        <f>IF(bestsellers_with_categories[[#This Row],[User Rating]]&gt;40,"recommended","not recommended")</f>
        <v>recommended</v>
      </c>
    </row>
    <row r="409" spans="1:9" x14ac:dyDescent="0.3">
      <c r="A409" t="s">
        <v>10</v>
      </c>
      <c r="B409" t="s">
        <v>11</v>
      </c>
      <c r="C409">
        <v>46</v>
      </c>
      <c r="D409">
        <v>2052</v>
      </c>
      <c r="E409" s="1">
        <v>22</v>
      </c>
      <c r="F409">
        <v>2011</v>
      </c>
      <c r="G409" t="s">
        <v>12</v>
      </c>
      <c r="H409" s="1">
        <f>bestsellers_with_categories[[#This Row],[Reviews]]*bestsellers_with_categories[[#This Row],[Price]]</f>
        <v>45144</v>
      </c>
      <c r="I409" t="str">
        <f>IF(bestsellers_with_categories[[#This Row],[User Rating]]&gt;40,"recommended","not recommended")</f>
        <v>recommended</v>
      </c>
    </row>
    <row r="410" spans="1:9" x14ac:dyDescent="0.3">
      <c r="A410" t="s">
        <v>587</v>
      </c>
      <c r="B410" t="s">
        <v>588</v>
      </c>
      <c r="C410">
        <v>44</v>
      </c>
      <c r="D410">
        <v>7497</v>
      </c>
      <c r="E410" s="1">
        <v>6</v>
      </c>
      <c r="F410">
        <v>2012</v>
      </c>
      <c r="G410" t="s">
        <v>9</v>
      </c>
      <c r="H410" s="1">
        <f>bestsellers_with_categories[[#This Row],[Reviews]]*bestsellers_with_categories[[#This Row],[Price]]</f>
        <v>44982</v>
      </c>
      <c r="I410" t="str">
        <f>IF(bestsellers_with_categories[[#This Row],[User Rating]]&gt;40,"recommended","not recommended")</f>
        <v>recommended</v>
      </c>
    </row>
    <row r="411" spans="1:9" x14ac:dyDescent="0.3">
      <c r="A411" t="s">
        <v>587</v>
      </c>
      <c r="B411" t="s">
        <v>588</v>
      </c>
      <c r="C411">
        <v>44</v>
      </c>
      <c r="D411">
        <v>7497</v>
      </c>
      <c r="E411" s="1">
        <v>6</v>
      </c>
      <c r="F411">
        <v>2013</v>
      </c>
      <c r="G411" t="s">
        <v>9</v>
      </c>
      <c r="H411" s="1">
        <f>bestsellers_with_categories[[#This Row],[Reviews]]*bestsellers_with_categories[[#This Row],[Price]]</f>
        <v>44982</v>
      </c>
      <c r="I411" t="str">
        <f>IF(bestsellers_with_categories[[#This Row],[User Rating]]&gt;40,"recommended","not recommended")</f>
        <v>recommended</v>
      </c>
    </row>
    <row r="412" spans="1:9" x14ac:dyDescent="0.3">
      <c r="A412" t="s">
        <v>524</v>
      </c>
      <c r="B412" t="s">
        <v>80</v>
      </c>
      <c r="C412">
        <v>47</v>
      </c>
      <c r="D412">
        <v>6377</v>
      </c>
      <c r="E412" s="1">
        <v>7</v>
      </c>
      <c r="F412">
        <v>2012</v>
      </c>
      <c r="G412" t="s">
        <v>12</v>
      </c>
      <c r="H412" s="1">
        <f>bestsellers_with_categories[[#This Row],[Reviews]]*bestsellers_with_categories[[#This Row],[Price]]</f>
        <v>44639</v>
      </c>
      <c r="I412" t="str">
        <f>IF(bestsellers_with_categories[[#This Row],[User Rating]]&gt;40,"recommended","not recommended")</f>
        <v>recommended</v>
      </c>
    </row>
    <row r="413" spans="1:9" x14ac:dyDescent="0.3">
      <c r="A413" t="s">
        <v>195</v>
      </c>
      <c r="B413" t="s">
        <v>196</v>
      </c>
      <c r="C413">
        <v>48</v>
      </c>
      <c r="D413">
        <v>8837</v>
      </c>
      <c r="E413" s="1">
        <v>5</v>
      </c>
      <c r="F413">
        <v>2017</v>
      </c>
      <c r="G413" t="s">
        <v>12</v>
      </c>
      <c r="H413" s="1">
        <f>bestsellers_with_categories[[#This Row],[Reviews]]*bestsellers_with_categories[[#This Row],[Price]]</f>
        <v>44185</v>
      </c>
      <c r="I413" t="str">
        <f>IF(bestsellers_with_categories[[#This Row],[User Rating]]&gt;40,"recommended","not recommended")</f>
        <v>recommended</v>
      </c>
    </row>
    <row r="414" spans="1:9" x14ac:dyDescent="0.3">
      <c r="A414" t="s">
        <v>195</v>
      </c>
      <c r="B414" t="s">
        <v>196</v>
      </c>
      <c r="C414">
        <v>48</v>
      </c>
      <c r="D414">
        <v>8837</v>
      </c>
      <c r="E414" s="1">
        <v>5</v>
      </c>
      <c r="F414">
        <v>2018</v>
      </c>
      <c r="G414" t="s">
        <v>12</v>
      </c>
      <c r="H414" s="1">
        <f>bestsellers_with_categories[[#This Row],[Reviews]]*bestsellers_with_categories[[#This Row],[Price]]</f>
        <v>44185</v>
      </c>
      <c r="I414" t="str">
        <f>IF(bestsellers_with_categories[[#This Row],[User Rating]]&gt;40,"recommended","not recommended")</f>
        <v>recommended</v>
      </c>
    </row>
    <row r="415" spans="1:9" x14ac:dyDescent="0.3">
      <c r="A415" t="s">
        <v>195</v>
      </c>
      <c r="B415" t="s">
        <v>196</v>
      </c>
      <c r="C415">
        <v>48</v>
      </c>
      <c r="D415">
        <v>8837</v>
      </c>
      <c r="E415" s="1">
        <v>5</v>
      </c>
      <c r="F415">
        <v>2019</v>
      </c>
      <c r="G415" t="s">
        <v>12</v>
      </c>
      <c r="H415" s="1">
        <f>bestsellers_with_categories[[#This Row],[Reviews]]*bestsellers_with_categories[[#This Row],[Price]]</f>
        <v>44185</v>
      </c>
      <c r="I415" t="str">
        <f>IF(bestsellers_with_categories[[#This Row],[User Rating]]&gt;40,"recommended","not recommended")</f>
        <v>recommended</v>
      </c>
    </row>
    <row r="416" spans="1:9" x14ac:dyDescent="0.3">
      <c r="A416" t="s">
        <v>551</v>
      </c>
      <c r="B416" t="s">
        <v>552</v>
      </c>
      <c r="C416">
        <v>45</v>
      </c>
      <c r="D416">
        <v>1904</v>
      </c>
      <c r="E416" s="1">
        <v>23</v>
      </c>
      <c r="F416">
        <v>2012</v>
      </c>
      <c r="G416" t="s">
        <v>9</v>
      </c>
      <c r="H416" s="1">
        <f>bestsellers_with_categories[[#This Row],[Reviews]]*bestsellers_with_categories[[#This Row],[Price]]</f>
        <v>43792</v>
      </c>
      <c r="I416" t="str">
        <f>IF(bestsellers_with_categories[[#This Row],[User Rating]]&gt;40,"recommended","not recommended")</f>
        <v>recommended</v>
      </c>
    </row>
    <row r="417" spans="1:9" x14ac:dyDescent="0.3">
      <c r="A417" t="s">
        <v>320</v>
      </c>
      <c r="B417" t="s">
        <v>80</v>
      </c>
      <c r="C417">
        <v>48</v>
      </c>
      <c r="D417">
        <v>6169</v>
      </c>
      <c r="E417" s="1">
        <v>7</v>
      </c>
      <c r="F417">
        <v>2015</v>
      </c>
      <c r="G417" t="s">
        <v>12</v>
      </c>
      <c r="H417" s="1">
        <f>bestsellers_with_categories[[#This Row],[Reviews]]*bestsellers_with_categories[[#This Row],[Price]]</f>
        <v>43183</v>
      </c>
      <c r="I417" t="str">
        <f>IF(bestsellers_with_categories[[#This Row],[User Rating]]&gt;40,"recommended","not recommended")</f>
        <v>recommended</v>
      </c>
    </row>
    <row r="418" spans="1:9" x14ac:dyDescent="0.3">
      <c r="A418" t="s">
        <v>520</v>
      </c>
      <c r="B418" t="s">
        <v>333</v>
      </c>
      <c r="C418">
        <v>48</v>
      </c>
      <c r="D418">
        <v>4290</v>
      </c>
      <c r="E418" s="1">
        <v>10</v>
      </c>
      <c r="F418">
        <v>2011</v>
      </c>
      <c r="G418" t="s">
        <v>12</v>
      </c>
      <c r="H418" s="1">
        <f>bestsellers_with_categories[[#This Row],[Reviews]]*bestsellers_with_categories[[#This Row],[Price]]</f>
        <v>42900</v>
      </c>
      <c r="I418" t="str">
        <f>IF(bestsellers_with_categories[[#This Row],[User Rating]]&gt;40,"recommended","not recommended")</f>
        <v>recommended</v>
      </c>
    </row>
    <row r="419" spans="1:9" x14ac:dyDescent="0.3">
      <c r="A419" t="s">
        <v>81</v>
      </c>
      <c r="B419" t="s">
        <v>82</v>
      </c>
      <c r="C419">
        <v>46</v>
      </c>
      <c r="D419">
        <v>10369</v>
      </c>
      <c r="E419" s="1">
        <v>4</v>
      </c>
      <c r="F419">
        <v>2016</v>
      </c>
      <c r="G419" t="s">
        <v>9</v>
      </c>
      <c r="H419" s="1">
        <f>bestsellers_with_categories[[#This Row],[Reviews]]*bestsellers_with_categories[[#This Row],[Price]]</f>
        <v>41476</v>
      </c>
      <c r="I419" t="str">
        <f>IF(bestsellers_with_categories[[#This Row],[User Rating]]&gt;40,"recommended","not recommended")</f>
        <v>recommended</v>
      </c>
    </row>
    <row r="420" spans="1:9" x14ac:dyDescent="0.3">
      <c r="A420" t="s">
        <v>573</v>
      </c>
      <c r="B420" t="s">
        <v>251</v>
      </c>
      <c r="C420">
        <v>47</v>
      </c>
      <c r="D420">
        <v>4585</v>
      </c>
      <c r="E420" s="1">
        <v>9</v>
      </c>
      <c r="F420">
        <v>2016</v>
      </c>
      <c r="G420" t="s">
        <v>9</v>
      </c>
      <c r="H420" s="1">
        <f>bestsellers_with_categories[[#This Row],[Reviews]]*bestsellers_with_categories[[#This Row],[Price]]</f>
        <v>41265</v>
      </c>
      <c r="I420" t="str">
        <f>IF(bestsellers_with_categories[[#This Row],[User Rating]]&gt;40,"recommended","not recommended")</f>
        <v>recommended</v>
      </c>
    </row>
    <row r="421" spans="1:9" x14ac:dyDescent="0.3">
      <c r="A421" t="s">
        <v>323</v>
      </c>
      <c r="B421" t="s">
        <v>324</v>
      </c>
      <c r="C421">
        <v>46</v>
      </c>
      <c r="D421">
        <v>3163</v>
      </c>
      <c r="E421" s="1">
        <v>13</v>
      </c>
      <c r="F421">
        <v>2011</v>
      </c>
      <c r="G421" t="s">
        <v>9</v>
      </c>
      <c r="H421" s="1">
        <f>bestsellers_with_categories[[#This Row],[Reviews]]*bestsellers_with_categories[[#This Row],[Price]]</f>
        <v>41119</v>
      </c>
      <c r="I421" t="str">
        <f>IF(bestsellers_with_categories[[#This Row],[User Rating]]&gt;40,"recommended","not recommended")</f>
        <v>recommended</v>
      </c>
    </row>
    <row r="422" spans="1:9" x14ac:dyDescent="0.3">
      <c r="A422" t="s">
        <v>323</v>
      </c>
      <c r="B422" t="s">
        <v>324</v>
      </c>
      <c r="C422">
        <v>46</v>
      </c>
      <c r="D422">
        <v>3163</v>
      </c>
      <c r="E422" s="1">
        <v>13</v>
      </c>
      <c r="F422">
        <v>2012</v>
      </c>
      <c r="G422" t="s">
        <v>9</v>
      </c>
      <c r="H422" s="1">
        <f>bestsellers_with_categories[[#This Row],[Reviews]]*bestsellers_with_categories[[#This Row],[Price]]</f>
        <v>41119</v>
      </c>
      <c r="I422" t="str">
        <f>IF(bestsellers_with_categories[[#This Row],[User Rating]]&gt;40,"recommended","not recommended")</f>
        <v>recommended</v>
      </c>
    </row>
    <row r="423" spans="1:9" x14ac:dyDescent="0.3">
      <c r="A423" t="s">
        <v>137</v>
      </c>
      <c r="B423" t="s">
        <v>138</v>
      </c>
      <c r="C423">
        <v>45</v>
      </c>
      <c r="D423">
        <v>2525</v>
      </c>
      <c r="E423" s="1">
        <v>16</v>
      </c>
      <c r="F423">
        <v>2010</v>
      </c>
      <c r="G423" t="s">
        <v>9</v>
      </c>
      <c r="H423" s="1">
        <f>bestsellers_with_categories[[#This Row],[Reviews]]*bestsellers_with_categories[[#This Row],[Price]]</f>
        <v>40400</v>
      </c>
      <c r="I423" t="str">
        <f>IF(bestsellers_with_categories[[#This Row],[User Rating]]&gt;40,"recommended","not recommended")</f>
        <v>recommended</v>
      </c>
    </row>
    <row r="424" spans="1:9" x14ac:dyDescent="0.3">
      <c r="A424" t="s">
        <v>119</v>
      </c>
      <c r="B424" t="s">
        <v>120</v>
      </c>
      <c r="C424">
        <v>46</v>
      </c>
      <c r="D424">
        <v>7955</v>
      </c>
      <c r="E424" s="1">
        <v>5</v>
      </c>
      <c r="F424">
        <v>2019</v>
      </c>
      <c r="G424" t="s">
        <v>9</v>
      </c>
      <c r="H424" s="1">
        <f>bestsellers_with_categories[[#This Row],[Reviews]]*bestsellers_with_categories[[#This Row],[Price]]</f>
        <v>39775</v>
      </c>
      <c r="I424" t="str">
        <f>IF(bestsellers_with_categories[[#This Row],[User Rating]]&gt;40,"recommended","not recommended")</f>
        <v>recommended</v>
      </c>
    </row>
    <row r="425" spans="1:9" x14ac:dyDescent="0.3">
      <c r="A425" t="s">
        <v>481</v>
      </c>
      <c r="B425" t="s">
        <v>482</v>
      </c>
      <c r="C425">
        <v>49</v>
      </c>
      <c r="D425">
        <v>7861</v>
      </c>
      <c r="E425" s="1">
        <v>5</v>
      </c>
      <c r="F425">
        <v>2016</v>
      </c>
      <c r="G425" t="s">
        <v>9</v>
      </c>
      <c r="H425" s="1">
        <f>bestsellers_with_categories[[#This Row],[Reviews]]*bestsellers_with_categories[[#This Row],[Price]]</f>
        <v>39305</v>
      </c>
      <c r="I425" t="str">
        <f>IF(bestsellers_with_categories[[#This Row],[User Rating]]&gt;40,"recommended","not recommended")</f>
        <v>recommended</v>
      </c>
    </row>
    <row r="426" spans="1:9" x14ac:dyDescent="0.3">
      <c r="A426" t="s">
        <v>144</v>
      </c>
      <c r="B426" t="s">
        <v>75</v>
      </c>
      <c r="C426">
        <v>47</v>
      </c>
      <c r="D426" s="12">
        <v>5505</v>
      </c>
      <c r="E426" s="1">
        <v>7</v>
      </c>
      <c r="F426">
        <v>2009</v>
      </c>
      <c r="G426" s="11" t="s">
        <v>12</v>
      </c>
      <c r="H426" s="1">
        <f>bestsellers_with_categories[[#This Row],[Reviews]]*bestsellers_with_categories[[#This Row],[Price]]</f>
        <v>38535</v>
      </c>
      <c r="I426" t="str">
        <f>IF(bestsellers_with_categories[[#This Row],[User Rating]]&gt;40,"recommended","not recommended")</f>
        <v>recommended</v>
      </c>
    </row>
    <row r="427" spans="1:9" x14ac:dyDescent="0.3">
      <c r="A427" t="s">
        <v>202</v>
      </c>
      <c r="B427" t="s">
        <v>203</v>
      </c>
      <c r="C427">
        <v>48</v>
      </c>
      <c r="D427">
        <v>5476</v>
      </c>
      <c r="E427" s="1">
        <v>7</v>
      </c>
      <c r="F427">
        <v>2019</v>
      </c>
      <c r="G427" t="s">
        <v>9</v>
      </c>
      <c r="H427" s="1">
        <f>bestsellers_with_categories[[#This Row],[Reviews]]*bestsellers_with_categories[[#This Row],[Price]]</f>
        <v>38332</v>
      </c>
      <c r="I427" t="str">
        <f>IF(bestsellers_with_categories[[#This Row],[User Rating]]&gt;40,"recommended","not recommended")</f>
        <v>recommended</v>
      </c>
    </row>
    <row r="428" spans="1:9" x14ac:dyDescent="0.3">
      <c r="A428" t="s">
        <v>129</v>
      </c>
      <c r="B428" t="s">
        <v>128</v>
      </c>
      <c r="C428">
        <v>49</v>
      </c>
      <c r="D428">
        <v>4786</v>
      </c>
      <c r="E428" s="1">
        <v>8</v>
      </c>
      <c r="F428">
        <v>2017</v>
      </c>
      <c r="G428" t="s">
        <v>12</v>
      </c>
      <c r="H428" s="1">
        <f>bestsellers_with_categories[[#This Row],[Reviews]]*bestsellers_with_categories[[#This Row],[Price]]</f>
        <v>38288</v>
      </c>
      <c r="I428" t="str">
        <f>IF(bestsellers_with_categories[[#This Row],[User Rating]]&gt;40,"recommended","not recommended")</f>
        <v>recommended</v>
      </c>
    </row>
    <row r="429" spans="1:9" x14ac:dyDescent="0.3">
      <c r="A429" t="s">
        <v>126</v>
      </c>
      <c r="B429" t="s">
        <v>80</v>
      </c>
      <c r="C429">
        <v>48</v>
      </c>
      <c r="D429" s="12">
        <v>3181</v>
      </c>
      <c r="E429" s="1">
        <v>12</v>
      </c>
      <c r="F429">
        <v>2009</v>
      </c>
      <c r="G429" s="11" t="s">
        <v>12</v>
      </c>
      <c r="H429" s="1">
        <f>bestsellers_with_categories[[#This Row],[Reviews]]*bestsellers_with_categories[[#This Row],[Price]]</f>
        <v>38172</v>
      </c>
      <c r="I429" t="str">
        <f>IF(bestsellers_with_categories[[#This Row],[User Rating]]&gt;40,"recommended","not recommended")</f>
        <v>recommended</v>
      </c>
    </row>
    <row r="430" spans="1:9" x14ac:dyDescent="0.3">
      <c r="A430" t="s">
        <v>553</v>
      </c>
      <c r="B430" t="s">
        <v>554</v>
      </c>
      <c r="C430">
        <v>43</v>
      </c>
      <c r="D430" s="12">
        <v>3319</v>
      </c>
      <c r="E430" s="1">
        <v>11</v>
      </c>
      <c r="F430">
        <v>2009</v>
      </c>
      <c r="G430" s="11" t="s">
        <v>9</v>
      </c>
      <c r="H430" s="1">
        <f>bestsellers_with_categories[[#This Row],[Reviews]]*bestsellers_with_categories[[#This Row],[Price]]</f>
        <v>36509</v>
      </c>
      <c r="I430" t="str">
        <f>IF(bestsellers_with_categories[[#This Row],[User Rating]]&gt;40,"recommended","not recommended")</f>
        <v>recommended</v>
      </c>
    </row>
    <row r="431" spans="1:9" x14ac:dyDescent="0.3">
      <c r="A431" t="s">
        <v>553</v>
      </c>
      <c r="B431" t="s">
        <v>554</v>
      </c>
      <c r="C431">
        <v>43</v>
      </c>
      <c r="D431">
        <v>3319</v>
      </c>
      <c r="E431" s="1">
        <v>11</v>
      </c>
      <c r="F431">
        <v>2010</v>
      </c>
      <c r="G431" t="s">
        <v>9</v>
      </c>
      <c r="H431" s="1">
        <f>bestsellers_with_categories[[#This Row],[Reviews]]*bestsellers_with_categories[[#This Row],[Price]]</f>
        <v>36509</v>
      </c>
      <c r="I431" t="str">
        <f>IF(bestsellers_with_categories[[#This Row],[User Rating]]&gt;40,"recommended","not recommended")</f>
        <v>recommended</v>
      </c>
    </row>
    <row r="432" spans="1:9" x14ac:dyDescent="0.3">
      <c r="A432" t="s">
        <v>110</v>
      </c>
      <c r="B432" t="s">
        <v>111</v>
      </c>
      <c r="C432">
        <v>46</v>
      </c>
      <c r="D432">
        <v>2137</v>
      </c>
      <c r="E432" s="1">
        <v>17</v>
      </c>
      <c r="F432">
        <v>2010</v>
      </c>
      <c r="G432" t="s">
        <v>9</v>
      </c>
      <c r="H432" s="1">
        <f>bestsellers_with_categories[[#This Row],[Reviews]]*bestsellers_with_categories[[#This Row],[Price]]</f>
        <v>36329</v>
      </c>
      <c r="I432" t="str">
        <f>IF(bestsellers_with_categories[[#This Row],[User Rating]]&gt;40,"recommended","not recommended")</f>
        <v>recommended</v>
      </c>
    </row>
    <row r="433" spans="1:9" x14ac:dyDescent="0.3">
      <c r="A433" t="s">
        <v>467</v>
      </c>
      <c r="B433" t="s">
        <v>468</v>
      </c>
      <c r="C433">
        <v>47</v>
      </c>
      <c r="D433" s="12">
        <v>4028</v>
      </c>
      <c r="E433" s="1">
        <v>9</v>
      </c>
      <c r="F433">
        <v>2009</v>
      </c>
      <c r="G433" s="11" t="s">
        <v>9</v>
      </c>
      <c r="H433" s="1">
        <f>bestsellers_with_categories[[#This Row],[Reviews]]*bestsellers_with_categories[[#This Row],[Price]]</f>
        <v>36252</v>
      </c>
      <c r="I433" t="str">
        <f>IF(bestsellers_with_categories[[#This Row],[User Rating]]&gt;40,"recommended","not recommended")</f>
        <v>recommended</v>
      </c>
    </row>
    <row r="434" spans="1:9" x14ac:dyDescent="0.3">
      <c r="A434" t="s">
        <v>354</v>
      </c>
      <c r="B434" t="s">
        <v>355</v>
      </c>
      <c r="C434">
        <v>46</v>
      </c>
      <c r="D434">
        <v>3619</v>
      </c>
      <c r="E434" s="1">
        <v>10</v>
      </c>
      <c r="F434">
        <v>2010</v>
      </c>
      <c r="G434" t="s">
        <v>12</v>
      </c>
      <c r="H434" s="1">
        <f>bestsellers_with_categories[[#This Row],[Reviews]]*bestsellers_with_categories[[#This Row],[Price]]</f>
        <v>36190</v>
      </c>
      <c r="I434" t="str">
        <f>IF(bestsellers_with_categories[[#This Row],[User Rating]]&gt;40,"recommended","not recommended")</f>
        <v>recommended</v>
      </c>
    </row>
    <row r="435" spans="1:9" x14ac:dyDescent="0.3">
      <c r="A435" t="s">
        <v>489</v>
      </c>
      <c r="B435" t="s">
        <v>490</v>
      </c>
      <c r="C435">
        <v>46</v>
      </c>
      <c r="D435">
        <v>2744</v>
      </c>
      <c r="E435" s="1">
        <v>12</v>
      </c>
      <c r="F435">
        <v>2019</v>
      </c>
      <c r="G435" t="s">
        <v>9</v>
      </c>
      <c r="H435" s="1">
        <f>bestsellers_with_categories[[#This Row],[Reviews]]*bestsellers_with_categories[[#This Row],[Price]]</f>
        <v>32928</v>
      </c>
      <c r="I435" t="str">
        <f>IF(bestsellers_with_categories[[#This Row],[User Rating]]&gt;40,"recommended","not recommended")</f>
        <v>recommended</v>
      </c>
    </row>
    <row r="436" spans="1:9" x14ac:dyDescent="0.3">
      <c r="A436" t="s">
        <v>133</v>
      </c>
      <c r="B436" t="s">
        <v>128</v>
      </c>
      <c r="C436">
        <v>49</v>
      </c>
      <c r="D436">
        <v>5470</v>
      </c>
      <c r="E436" s="1">
        <v>6</v>
      </c>
      <c r="F436">
        <v>2018</v>
      </c>
      <c r="G436" t="s">
        <v>12</v>
      </c>
      <c r="H436" s="1">
        <f>bestsellers_with_categories[[#This Row],[Reviews]]*bestsellers_with_categories[[#This Row],[Price]]</f>
        <v>32820</v>
      </c>
      <c r="I436" t="str">
        <f>IF(bestsellers_with_categories[[#This Row],[User Rating]]&gt;40,"recommended","not recommended")</f>
        <v>recommended</v>
      </c>
    </row>
    <row r="437" spans="1:9" x14ac:dyDescent="0.3">
      <c r="A437" t="s">
        <v>469</v>
      </c>
      <c r="B437" t="s">
        <v>333</v>
      </c>
      <c r="C437">
        <v>48</v>
      </c>
      <c r="D437" s="12">
        <v>4628</v>
      </c>
      <c r="E437" s="1">
        <v>7</v>
      </c>
      <c r="F437">
        <v>2009</v>
      </c>
      <c r="G437" s="11" t="s">
        <v>12</v>
      </c>
      <c r="H437" s="1">
        <f>bestsellers_with_categories[[#This Row],[Reviews]]*bestsellers_with_categories[[#This Row],[Price]]</f>
        <v>32396</v>
      </c>
      <c r="I437" t="str">
        <f>IF(bestsellers_with_categories[[#This Row],[User Rating]]&gt;40,"recommended","not recommended")</f>
        <v>recommended</v>
      </c>
    </row>
    <row r="438" spans="1:9" x14ac:dyDescent="0.3">
      <c r="A438" t="s">
        <v>469</v>
      </c>
      <c r="B438" t="s">
        <v>333</v>
      </c>
      <c r="C438">
        <v>48</v>
      </c>
      <c r="D438">
        <v>4628</v>
      </c>
      <c r="E438" s="1">
        <v>7</v>
      </c>
      <c r="F438">
        <v>2010</v>
      </c>
      <c r="G438" t="s">
        <v>12</v>
      </c>
      <c r="H438" s="1">
        <f>bestsellers_with_categories[[#This Row],[Reviews]]*bestsellers_with_categories[[#This Row],[Price]]</f>
        <v>32396</v>
      </c>
      <c r="I438" t="str">
        <f>IF(bestsellers_with_categories[[#This Row],[User Rating]]&gt;40,"recommended","not recommended")</f>
        <v>recommended</v>
      </c>
    </row>
    <row r="439" spans="1:9" x14ac:dyDescent="0.3">
      <c r="A439" t="s">
        <v>214</v>
      </c>
      <c r="B439" t="s">
        <v>215</v>
      </c>
      <c r="C439">
        <v>47</v>
      </c>
      <c r="D439">
        <v>3564</v>
      </c>
      <c r="E439" s="1">
        <v>9</v>
      </c>
      <c r="F439">
        <v>2015</v>
      </c>
      <c r="G439" t="s">
        <v>9</v>
      </c>
      <c r="H439" s="1">
        <f>bestsellers_with_categories[[#This Row],[Reviews]]*bestsellers_with_categories[[#This Row],[Price]]</f>
        <v>32076</v>
      </c>
      <c r="I439" t="str">
        <f>IF(bestsellers_with_categories[[#This Row],[User Rating]]&gt;40,"recommended","not recommended")</f>
        <v>recommended</v>
      </c>
    </row>
    <row r="440" spans="1:9" x14ac:dyDescent="0.3">
      <c r="A440" t="s">
        <v>528</v>
      </c>
      <c r="B440" t="s">
        <v>103</v>
      </c>
      <c r="C440">
        <v>44</v>
      </c>
      <c r="D440" s="12">
        <v>3503</v>
      </c>
      <c r="E440" s="1">
        <v>9</v>
      </c>
      <c r="F440">
        <v>2009</v>
      </c>
      <c r="G440" s="11" t="s">
        <v>9</v>
      </c>
      <c r="H440" s="1">
        <f>bestsellers_with_categories[[#This Row],[Reviews]]*bestsellers_with_categories[[#This Row],[Price]]</f>
        <v>31527</v>
      </c>
      <c r="I440" t="str">
        <f>IF(bestsellers_with_categories[[#This Row],[User Rating]]&gt;40,"recommended","not recommended")</f>
        <v>recommended</v>
      </c>
    </row>
    <row r="441" spans="1:9" x14ac:dyDescent="0.3">
      <c r="A441" t="s">
        <v>336</v>
      </c>
      <c r="B441" t="s">
        <v>215</v>
      </c>
      <c r="C441">
        <v>47</v>
      </c>
      <c r="D441">
        <v>3503</v>
      </c>
      <c r="E441" s="1">
        <v>9</v>
      </c>
      <c r="F441">
        <v>2016</v>
      </c>
      <c r="G441" t="s">
        <v>12</v>
      </c>
      <c r="H441" s="1">
        <f>bestsellers_with_categories[[#This Row],[Reviews]]*bestsellers_with_categories[[#This Row],[Price]]</f>
        <v>31527</v>
      </c>
      <c r="I441" t="str">
        <f>IF(bestsellers_with_categories[[#This Row],[User Rating]]&gt;40,"recommended","not recommended")</f>
        <v>recommended</v>
      </c>
    </row>
    <row r="442" spans="1:9" x14ac:dyDescent="0.3">
      <c r="A442" t="s">
        <v>63</v>
      </c>
      <c r="B442" t="s">
        <v>64</v>
      </c>
      <c r="C442">
        <v>48</v>
      </c>
      <c r="D442">
        <v>1296</v>
      </c>
      <c r="E442" s="1">
        <v>24</v>
      </c>
      <c r="F442">
        <v>2012</v>
      </c>
      <c r="G442" t="s">
        <v>9</v>
      </c>
      <c r="H442" s="1">
        <f>bestsellers_with_categories[[#This Row],[Reviews]]*bestsellers_with_categories[[#This Row],[Price]]</f>
        <v>31104</v>
      </c>
      <c r="I442" t="str">
        <f>IF(bestsellers_with_categories[[#This Row],[User Rating]]&gt;40,"recommended","not recommended")</f>
        <v>recommended</v>
      </c>
    </row>
    <row r="443" spans="1:9" x14ac:dyDescent="0.3">
      <c r="A443" t="s">
        <v>127</v>
      </c>
      <c r="B443" t="s">
        <v>128</v>
      </c>
      <c r="C443">
        <v>49</v>
      </c>
      <c r="D443">
        <v>5062</v>
      </c>
      <c r="E443" s="1">
        <v>6</v>
      </c>
      <c r="F443">
        <v>2018</v>
      </c>
      <c r="G443" t="s">
        <v>12</v>
      </c>
      <c r="H443" s="1">
        <f>bestsellers_with_categories[[#This Row],[Reviews]]*bestsellers_with_categories[[#This Row],[Price]]</f>
        <v>30372</v>
      </c>
      <c r="I443" t="str">
        <f>IF(bestsellers_with_categories[[#This Row],[User Rating]]&gt;40,"recommended","not recommended")</f>
        <v>recommended</v>
      </c>
    </row>
    <row r="444" spans="1:9" x14ac:dyDescent="0.3">
      <c r="A444" t="s">
        <v>424</v>
      </c>
      <c r="B444" t="s">
        <v>425</v>
      </c>
      <c r="C444">
        <v>41</v>
      </c>
      <c r="D444">
        <v>2023</v>
      </c>
      <c r="E444" s="1">
        <v>15</v>
      </c>
      <c r="F444">
        <v>2011</v>
      </c>
      <c r="G444" t="s">
        <v>9</v>
      </c>
      <c r="H444" s="1">
        <f>bestsellers_with_categories[[#This Row],[Reviews]]*bestsellers_with_categories[[#This Row],[Price]]</f>
        <v>30345</v>
      </c>
      <c r="I444" t="str">
        <f>IF(bestsellers_with_categories[[#This Row],[User Rating]]&gt;40,"recommended","not recommended")</f>
        <v>recommended</v>
      </c>
    </row>
    <row r="445" spans="1:9" x14ac:dyDescent="0.3">
      <c r="A445" t="s">
        <v>585</v>
      </c>
      <c r="B445" t="s">
        <v>586</v>
      </c>
      <c r="C445">
        <v>44</v>
      </c>
      <c r="D445">
        <v>3341</v>
      </c>
      <c r="E445" s="1">
        <v>9</v>
      </c>
      <c r="F445">
        <v>2011</v>
      </c>
      <c r="G445" t="s">
        <v>9</v>
      </c>
      <c r="H445" s="1">
        <f>bestsellers_with_categories[[#This Row],[Reviews]]*bestsellers_with_categories[[#This Row],[Price]]</f>
        <v>30069</v>
      </c>
      <c r="I445" t="str">
        <f>IF(bestsellers_with_categories[[#This Row],[User Rating]]&gt;40,"recommended","not recommended")</f>
        <v>recommended</v>
      </c>
    </row>
    <row r="446" spans="1:9" x14ac:dyDescent="0.3">
      <c r="A446" t="s">
        <v>495</v>
      </c>
      <c r="B446" t="s">
        <v>494</v>
      </c>
      <c r="C446">
        <v>43</v>
      </c>
      <c r="D446">
        <v>807</v>
      </c>
      <c r="E446" s="1">
        <v>36</v>
      </c>
      <c r="F446">
        <v>2016</v>
      </c>
      <c r="G446" t="s">
        <v>9</v>
      </c>
      <c r="H446" s="1">
        <f>bestsellers_with_categories[[#This Row],[Reviews]]*bestsellers_with_categories[[#This Row],[Price]]</f>
        <v>29052</v>
      </c>
      <c r="I446" t="str">
        <f>IF(bestsellers_with_categories[[#This Row],[User Rating]]&gt;40,"recommended","not recommended")</f>
        <v>recommended</v>
      </c>
    </row>
    <row r="447" spans="1:9" x14ac:dyDescent="0.3">
      <c r="A447" t="s">
        <v>130</v>
      </c>
      <c r="B447" t="s">
        <v>128</v>
      </c>
      <c r="C447">
        <v>49</v>
      </c>
      <c r="D447">
        <v>7235</v>
      </c>
      <c r="E447" s="1">
        <v>4</v>
      </c>
      <c r="F447">
        <v>2018</v>
      </c>
      <c r="G447" t="s">
        <v>12</v>
      </c>
      <c r="H447" s="1">
        <f>bestsellers_with_categories[[#This Row],[Reviews]]*bestsellers_with_categories[[#This Row],[Price]]</f>
        <v>28940</v>
      </c>
      <c r="I447" t="str">
        <f>IF(bestsellers_with_categories[[#This Row],[User Rating]]&gt;40,"recommended","not recommended")</f>
        <v>recommended</v>
      </c>
    </row>
    <row r="448" spans="1:9" x14ac:dyDescent="0.3">
      <c r="A448" t="s">
        <v>130</v>
      </c>
      <c r="B448" t="s">
        <v>128</v>
      </c>
      <c r="C448">
        <v>49</v>
      </c>
      <c r="D448">
        <v>7235</v>
      </c>
      <c r="E448" s="1">
        <v>4</v>
      </c>
      <c r="F448">
        <v>2019</v>
      </c>
      <c r="G448" t="s">
        <v>12</v>
      </c>
      <c r="H448" s="1">
        <f>bestsellers_with_categories[[#This Row],[Reviews]]*bestsellers_with_categories[[#This Row],[Price]]</f>
        <v>28940</v>
      </c>
      <c r="I448" t="str">
        <f>IF(bestsellers_with_categories[[#This Row],[User Rating]]&gt;40,"recommended","not recommended")</f>
        <v>recommended</v>
      </c>
    </row>
    <row r="449" spans="1:9" x14ac:dyDescent="0.3">
      <c r="A449" t="s">
        <v>372</v>
      </c>
      <c r="B449" t="s">
        <v>373</v>
      </c>
      <c r="C449">
        <v>45</v>
      </c>
      <c r="D449" s="12">
        <v>1583</v>
      </c>
      <c r="E449" s="1">
        <v>18</v>
      </c>
      <c r="F449">
        <v>2009</v>
      </c>
      <c r="G449" s="11" t="s">
        <v>9</v>
      </c>
      <c r="H449" s="1">
        <f>bestsellers_with_categories[[#This Row],[Reviews]]*bestsellers_with_categories[[#This Row],[Price]]</f>
        <v>28494</v>
      </c>
      <c r="I449" t="str">
        <f>IF(bestsellers_with_categories[[#This Row],[User Rating]]&gt;40,"recommended","not recommended")</f>
        <v>recommended</v>
      </c>
    </row>
    <row r="450" spans="1:9" x14ac:dyDescent="0.3">
      <c r="A450" t="s">
        <v>171</v>
      </c>
      <c r="B450" t="s">
        <v>172</v>
      </c>
      <c r="C450">
        <v>46</v>
      </c>
      <c r="D450">
        <v>5594</v>
      </c>
      <c r="E450" s="1">
        <v>5</v>
      </c>
      <c r="F450">
        <v>2011</v>
      </c>
      <c r="G450" t="s">
        <v>12</v>
      </c>
      <c r="H450" s="1">
        <f>bestsellers_with_categories[[#This Row],[Reviews]]*bestsellers_with_categories[[#This Row],[Price]]</f>
        <v>27970</v>
      </c>
      <c r="I450" t="str">
        <f>IF(bestsellers_with_categories[[#This Row],[User Rating]]&gt;40,"recommended","not recommended")</f>
        <v>recommended</v>
      </c>
    </row>
    <row r="451" spans="1:9" x14ac:dyDescent="0.3">
      <c r="A451" t="s">
        <v>171</v>
      </c>
      <c r="B451" t="s">
        <v>172</v>
      </c>
      <c r="C451">
        <v>46</v>
      </c>
      <c r="D451">
        <v>5594</v>
      </c>
      <c r="E451" s="1">
        <v>5</v>
      </c>
      <c r="F451">
        <v>2012</v>
      </c>
      <c r="G451" t="s">
        <v>12</v>
      </c>
      <c r="H451" s="1">
        <f>bestsellers_with_categories[[#This Row],[Reviews]]*bestsellers_with_categories[[#This Row],[Price]]</f>
        <v>27970</v>
      </c>
      <c r="I451" t="str">
        <f>IF(bestsellers_with_categories[[#This Row],[User Rating]]&gt;40,"recommended","not recommended")</f>
        <v>recommended</v>
      </c>
    </row>
    <row r="452" spans="1:9" x14ac:dyDescent="0.3">
      <c r="A452" t="s">
        <v>171</v>
      </c>
      <c r="B452" t="s">
        <v>172</v>
      </c>
      <c r="C452">
        <v>46</v>
      </c>
      <c r="D452">
        <v>5594</v>
      </c>
      <c r="E452" s="1">
        <v>5</v>
      </c>
      <c r="F452">
        <v>2013</v>
      </c>
      <c r="G452" t="s">
        <v>12</v>
      </c>
      <c r="H452" s="1">
        <f>bestsellers_with_categories[[#This Row],[Reviews]]*bestsellers_with_categories[[#This Row],[Price]]</f>
        <v>27970</v>
      </c>
      <c r="I452" t="str">
        <f>IF(bestsellers_with_categories[[#This Row],[User Rating]]&gt;40,"recommended","not recommended")</f>
        <v>recommended</v>
      </c>
    </row>
    <row r="453" spans="1:9" x14ac:dyDescent="0.3">
      <c r="A453" t="s">
        <v>271</v>
      </c>
      <c r="B453" t="s">
        <v>268</v>
      </c>
      <c r="C453">
        <v>46</v>
      </c>
      <c r="D453">
        <v>6990</v>
      </c>
      <c r="E453" s="1">
        <v>4</v>
      </c>
      <c r="F453">
        <v>2013</v>
      </c>
      <c r="G453" t="s">
        <v>9</v>
      </c>
      <c r="H453" s="1">
        <f>bestsellers_with_categories[[#This Row],[Reviews]]*bestsellers_with_categories[[#This Row],[Price]]</f>
        <v>27960</v>
      </c>
      <c r="I453" t="str">
        <f>IF(bestsellers_with_categories[[#This Row],[User Rating]]&gt;40,"recommended","not recommended")</f>
        <v>recommended</v>
      </c>
    </row>
    <row r="454" spans="1:9" x14ac:dyDescent="0.3">
      <c r="A454" t="s">
        <v>271</v>
      </c>
      <c r="B454" t="s">
        <v>268</v>
      </c>
      <c r="C454">
        <v>46</v>
      </c>
      <c r="D454">
        <v>6990</v>
      </c>
      <c r="E454" s="1">
        <v>4</v>
      </c>
      <c r="F454">
        <v>2014</v>
      </c>
      <c r="G454" t="s">
        <v>9</v>
      </c>
      <c r="H454" s="1">
        <f>bestsellers_with_categories[[#This Row],[Reviews]]*bestsellers_with_categories[[#This Row],[Price]]</f>
        <v>27960</v>
      </c>
      <c r="I454" t="str">
        <f>IF(bestsellers_with_categories[[#This Row],[User Rating]]&gt;40,"recommended","not recommended")</f>
        <v>recommended</v>
      </c>
    </row>
    <row r="455" spans="1:9" x14ac:dyDescent="0.3">
      <c r="A455" t="s">
        <v>271</v>
      </c>
      <c r="B455" t="s">
        <v>268</v>
      </c>
      <c r="C455">
        <v>46</v>
      </c>
      <c r="D455">
        <v>6990</v>
      </c>
      <c r="E455" s="1">
        <v>4</v>
      </c>
      <c r="F455">
        <v>2015</v>
      </c>
      <c r="G455" t="s">
        <v>9</v>
      </c>
      <c r="H455" s="1">
        <f>bestsellers_with_categories[[#This Row],[Reviews]]*bestsellers_with_categories[[#This Row],[Price]]</f>
        <v>27960</v>
      </c>
      <c r="I455" t="str">
        <f>IF(bestsellers_with_categories[[#This Row],[User Rating]]&gt;40,"recommended","not recommended")</f>
        <v>recommended</v>
      </c>
    </row>
    <row r="456" spans="1:9" x14ac:dyDescent="0.3">
      <c r="A456" t="s">
        <v>271</v>
      </c>
      <c r="B456" t="s">
        <v>268</v>
      </c>
      <c r="C456">
        <v>46</v>
      </c>
      <c r="D456">
        <v>6990</v>
      </c>
      <c r="E456" s="1">
        <v>4</v>
      </c>
      <c r="F456">
        <v>2016</v>
      </c>
      <c r="G456" t="s">
        <v>9</v>
      </c>
      <c r="H456" s="1">
        <f>bestsellers_with_categories[[#This Row],[Reviews]]*bestsellers_with_categories[[#This Row],[Price]]</f>
        <v>27960</v>
      </c>
      <c r="I456" t="str">
        <f>IF(bestsellers_with_categories[[#This Row],[User Rating]]&gt;40,"recommended","not recommended")</f>
        <v>recommended</v>
      </c>
    </row>
    <row r="457" spans="1:9" x14ac:dyDescent="0.3">
      <c r="A457" t="s">
        <v>271</v>
      </c>
      <c r="B457" t="s">
        <v>268</v>
      </c>
      <c r="C457">
        <v>46</v>
      </c>
      <c r="D457">
        <v>6990</v>
      </c>
      <c r="E457" s="1">
        <v>4</v>
      </c>
      <c r="F457">
        <v>2017</v>
      </c>
      <c r="G457" t="s">
        <v>9</v>
      </c>
      <c r="H457" s="1">
        <f>bestsellers_with_categories[[#This Row],[Reviews]]*bestsellers_with_categories[[#This Row],[Price]]</f>
        <v>27960</v>
      </c>
      <c r="I457" t="str">
        <f>IF(bestsellers_with_categories[[#This Row],[User Rating]]&gt;40,"recommended","not recommended")</f>
        <v>recommended</v>
      </c>
    </row>
    <row r="458" spans="1:9" x14ac:dyDescent="0.3">
      <c r="A458" t="s">
        <v>295</v>
      </c>
      <c r="B458" t="s">
        <v>64</v>
      </c>
      <c r="C458">
        <v>45</v>
      </c>
      <c r="D458">
        <v>1386</v>
      </c>
      <c r="E458" s="1">
        <v>20</v>
      </c>
      <c r="F458">
        <v>2014</v>
      </c>
      <c r="G458" t="s">
        <v>9</v>
      </c>
      <c r="H458" s="1">
        <f>bestsellers_with_categories[[#This Row],[Reviews]]*bestsellers_with_categories[[#This Row],[Price]]</f>
        <v>27720</v>
      </c>
      <c r="I458" t="str">
        <f>IF(bestsellers_with_categories[[#This Row],[User Rating]]&gt;40,"recommended","not recommended")</f>
        <v>recommended</v>
      </c>
    </row>
    <row r="459" spans="1:9" x14ac:dyDescent="0.3">
      <c r="A459" t="s">
        <v>59</v>
      </c>
      <c r="B459" t="s">
        <v>60</v>
      </c>
      <c r="C459">
        <v>46</v>
      </c>
      <c r="D459">
        <v>5360</v>
      </c>
      <c r="E459" s="1">
        <v>5</v>
      </c>
      <c r="F459">
        <v>2015</v>
      </c>
      <c r="G459" t="s">
        <v>9</v>
      </c>
      <c r="H459" s="1">
        <f>bestsellers_with_categories[[#This Row],[Reviews]]*bestsellers_with_categories[[#This Row],[Price]]</f>
        <v>26800</v>
      </c>
      <c r="I459" t="str">
        <f>IF(bestsellers_with_categories[[#This Row],[User Rating]]&gt;40,"recommended","not recommended")</f>
        <v>recommended</v>
      </c>
    </row>
    <row r="460" spans="1:9" x14ac:dyDescent="0.3">
      <c r="A460" t="s">
        <v>442</v>
      </c>
      <c r="B460" t="s">
        <v>443</v>
      </c>
      <c r="C460">
        <v>48</v>
      </c>
      <c r="D460">
        <v>5249</v>
      </c>
      <c r="E460" s="1">
        <v>5</v>
      </c>
      <c r="F460">
        <v>2016</v>
      </c>
      <c r="G460" t="s">
        <v>12</v>
      </c>
      <c r="H460" s="1">
        <f>bestsellers_with_categories[[#This Row],[Reviews]]*bestsellers_with_categories[[#This Row],[Price]]</f>
        <v>26245</v>
      </c>
      <c r="I460" t="str">
        <f>IF(bestsellers_with_categories[[#This Row],[User Rating]]&gt;40,"recommended","not recommended")</f>
        <v>recommended</v>
      </c>
    </row>
    <row r="461" spans="1:9" x14ac:dyDescent="0.3">
      <c r="A461" t="s">
        <v>442</v>
      </c>
      <c r="B461" t="s">
        <v>443</v>
      </c>
      <c r="C461">
        <v>48</v>
      </c>
      <c r="D461">
        <v>5249</v>
      </c>
      <c r="E461" s="1">
        <v>5</v>
      </c>
      <c r="F461">
        <v>2017</v>
      </c>
      <c r="G461" t="s">
        <v>12</v>
      </c>
      <c r="H461" s="1">
        <f>bestsellers_with_categories[[#This Row],[Reviews]]*bestsellers_with_categories[[#This Row],[Price]]</f>
        <v>26245</v>
      </c>
      <c r="I461" t="str">
        <f>IF(bestsellers_with_categories[[#This Row],[User Rating]]&gt;40,"recommended","not recommended")</f>
        <v>recommended</v>
      </c>
    </row>
    <row r="462" spans="1:9" x14ac:dyDescent="0.3">
      <c r="A462" t="s">
        <v>511</v>
      </c>
      <c r="B462" t="s">
        <v>333</v>
      </c>
      <c r="C462">
        <v>46</v>
      </c>
      <c r="D462">
        <v>2186</v>
      </c>
      <c r="E462" s="1">
        <v>12</v>
      </c>
      <c r="F462">
        <v>2010</v>
      </c>
      <c r="G462" t="s">
        <v>12</v>
      </c>
      <c r="H462" s="1">
        <f>bestsellers_with_categories[[#This Row],[Reviews]]*bestsellers_with_categories[[#This Row],[Price]]</f>
        <v>26232</v>
      </c>
      <c r="I462" t="str">
        <f>IF(bestsellers_with_categories[[#This Row],[User Rating]]&gt;40,"recommended","not recommended")</f>
        <v>recommended</v>
      </c>
    </row>
    <row r="463" spans="1:9" x14ac:dyDescent="0.3">
      <c r="A463" t="s">
        <v>582</v>
      </c>
      <c r="B463" t="s">
        <v>319</v>
      </c>
      <c r="C463">
        <v>47</v>
      </c>
      <c r="D463">
        <v>1873</v>
      </c>
      <c r="E463" s="1">
        <v>14</v>
      </c>
      <c r="F463">
        <v>2015</v>
      </c>
      <c r="G463" t="s">
        <v>12</v>
      </c>
      <c r="H463" s="1">
        <f>bestsellers_with_categories[[#This Row],[Reviews]]*bestsellers_with_categories[[#This Row],[Price]]</f>
        <v>26222</v>
      </c>
      <c r="I463" t="str">
        <f>IF(bestsellers_with_categories[[#This Row],[User Rating]]&gt;40,"recommended","not recommended")</f>
        <v>recommended</v>
      </c>
    </row>
    <row r="464" spans="1:9" x14ac:dyDescent="0.3">
      <c r="A464" t="s">
        <v>263</v>
      </c>
      <c r="B464" t="s">
        <v>259</v>
      </c>
      <c r="C464">
        <v>46</v>
      </c>
      <c r="D464">
        <v>5235</v>
      </c>
      <c r="E464" s="1">
        <v>5</v>
      </c>
      <c r="F464">
        <v>2015</v>
      </c>
      <c r="G464" t="s">
        <v>9</v>
      </c>
      <c r="H464" s="1">
        <f>bestsellers_with_categories[[#This Row],[Reviews]]*bestsellers_with_categories[[#This Row],[Price]]</f>
        <v>26175</v>
      </c>
      <c r="I464" t="str">
        <f>IF(bestsellers_with_categories[[#This Row],[User Rating]]&gt;40,"recommended","not recommended")</f>
        <v>recommended</v>
      </c>
    </row>
    <row r="465" spans="1:9" x14ac:dyDescent="0.3">
      <c r="A465" t="s">
        <v>32</v>
      </c>
      <c r="B465" t="s">
        <v>33</v>
      </c>
      <c r="C465">
        <v>45</v>
      </c>
      <c r="D465">
        <v>5153</v>
      </c>
      <c r="E465" s="1">
        <v>5</v>
      </c>
      <c r="F465">
        <v>2018</v>
      </c>
      <c r="G465" t="s">
        <v>12</v>
      </c>
      <c r="H465" s="1">
        <f>bestsellers_with_categories[[#This Row],[Reviews]]*bestsellers_with_categories[[#This Row],[Price]]</f>
        <v>25765</v>
      </c>
      <c r="I465" t="str">
        <f>IF(bestsellers_with_categories[[#This Row],[User Rating]]&gt;40,"recommended","not recommended")</f>
        <v>recommended</v>
      </c>
    </row>
    <row r="466" spans="1:9" x14ac:dyDescent="0.3">
      <c r="A466" t="s">
        <v>514</v>
      </c>
      <c r="B466" t="s">
        <v>333</v>
      </c>
      <c r="C466">
        <v>48</v>
      </c>
      <c r="D466">
        <v>2091</v>
      </c>
      <c r="E466" s="1">
        <v>12</v>
      </c>
      <c r="F466">
        <v>2012</v>
      </c>
      <c r="G466" t="s">
        <v>12</v>
      </c>
      <c r="H466" s="1">
        <f>bestsellers_with_categories[[#This Row],[Reviews]]*bestsellers_with_categories[[#This Row],[Price]]</f>
        <v>25092</v>
      </c>
      <c r="I466" t="str">
        <f>IF(bestsellers_with_categories[[#This Row],[User Rating]]&gt;40,"recommended","not recommended")</f>
        <v>recommended</v>
      </c>
    </row>
    <row r="467" spans="1:9" x14ac:dyDescent="0.3">
      <c r="A467" t="s">
        <v>400</v>
      </c>
      <c r="B467" t="s">
        <v>401</v>
      </c>
      <c r="C467">
        <v>42</v>
      </c>
      <c r="D467">
        <v>1789</v>
      </c>
      <c r="E467" s="1">
        <v>14</v>
      </c>
      <c r="F467">
        <v>2012</v>
      </c>
      <c r="G467" t="s">
        <v>9</v>
      </c>
      <c r="H467" s="1">
        <f>bestsellers_with_categories[[#This Row],[Reviews]]*bestsellers_with_categories[[#This Row],[Price]]</f>
        <v>25046</v>
      </c>
      <c r="I467" t="str">
        <f>IF(bestsellers_with_categories[[#This Row],[User Rating]]&gt;40,"recommended","not recommended")</f>
        <v>recommended</v>
      </c>
    </row>
    <row r="468" spans="1:9" x14ac:dyDescent="0.3">
      <c r="A468" t="s">
        <v>374</v>
      </c>
      <c r="B468" t="s">
        <v>375</v>
      </c>
      <c r="C468">
        <v>46</v>
      </c>
      <c r="D468">
        <v>1907</v>
      </c>
      <c r="E468" s="1">
        <v>13</v>
      </c>
      <c r="F468">
        <v>2010</v>
      </c>
      <c r="G468" t="s">
        <v>9</v>
      </c>
      <c r="H468" s="1">
        <f>bestsellers_with_categories[[#This Row],[Reviews]]*bestsellers_with_categories[[#This Row],[Price]]</f>
        <v>24791</v>
      </c>
      <c r="I468" t="str">
        <f>IF(bestsellers_with_categories[[#This Row],[User Rating]]&gt;40,"recommended","not recommended")</f>
        <v>recommended</v>
      </c>
    </row>
    <row r="469" spans="1:9" x14ac:dyDescent="0.3">
      <c r="A469" t="s">
        <v>112</v>
      </c>
      <c r="B469" t="s">
        <v>113</v>
      </c>
      <c r="C469">
        <v>46</v>
      </c>
      <c r="D469">
        <v>1651</v>
      </c>
      <c r="E469" s="1">
        <v>15</v>
      </c>
      <c r="F469">
        <v>2010</v>
      </c>
      <c r="G469" t="s">
        <v>9</v>
      </c>
      <c r="H469" s="1">
        <f>bestsellers_with_categories[[#This Row],[Reviews]]*bestsellers_with_categories[[#This Row],[Price]]</f>
        <v>24765</v>
      </c>
      <c r="I469" t="str">
        <f>IF(bestsellers_with_categories[[#This Row],[User Rating]]&gt;40,"recommended","not recommended")</f>
        <v>recommended</v>
      </c>
    </row>
    <row r="470" spans="1:9" x14ac:dyDescent="0.3">
      <c r="A470" t="s">
        <v>571</v>
      </c>
      <c r="B470" t="s">
        <v>572</v>
      </c>
      <c r="C470">
        <v>48</v>
      </c>
      <c r="D470">
        <v>6108</v>
      </c>
      <c r="E470" s="1">
        <v>4</v>
      </c>
      <c r="F470">
        <v>2019</v>
      </c>
      <c r="G470" t="s">
        <v>9</v>
      </c>
      <c r="H470" s="1">
        <f>bestsellers_with_categories[[#This Row],[Reviews]]*bestsellers_with_categories[[#This Row],[Price]]</f>
        <v>24432</v>
      </c>
      <c r="I470" t="str">
        <f>IF(bestsellers_with_categories[[#This Row],[User Rating]]&gt;40,"recommended","not recommended")</f>
        <v>recommended</v>
      </c>
    </row>
    <row r="471" spans="1:9" x14ac:dyDescent="0.3">
      <c r="A471" t="s">
        <v>365</v>
      </c>
      <c r="B471" t="s">
        <v>105</v>
      </c>
      <c r="C471">
        <v>47</v>
      </c>
      <c r="D471" s="12">
        <v>973</v>
      </c>
      <c r="E471" s="1">
        <v>25</v>
      </c>
      <c r="F471">
        <v>2009</v>
      </c>
      <c r="G471" s="11" t="s">
        <v>12</v>
      </c>
      <c r="H471" s="1">
        <f>bestsellers_with_categories[[#This Row],[Reviews]]*bestsellers_with_categories[[#This Row],[Price]]</f>
        <v>24325</v>
      </c>
      <c r="I471" t="str">
        <f>IF(bestsellers_with_categories[[#This Row],[User Rating]]&gt;40,"recommended","not recommended")</f>
        <v>recommended</v>
      </c>
    </row>
    <row r="472" spans="1:9" x14ac:dyDescent="0.3">
      <c r="A472" t="s">
        <v>393</v>
      </c>
      <c r="B472" t="s">
        <v>394</v>
      </c>
      <c r="C472">
        <v>46</v>
      </c>
      <c r="D472">
        <v>2580</v>
      </c>
      <c r="E472" s="1">
        <v>9</v>
      </c>
      <c r="F472">
        <v>2012</v>
      </c>
      <c r="G472" t="s">
        <v>9</v>
      </c>
      <c r="H472" s="1">
        <f>bestsellers_with_categories[[#This Row],[Reviews]]*bestsellers_with_categories[[#This Row],[Price]]</f>
        <v>23220</v>
      </c>
      <c r="I472" t="str">
        <f>IF(bestsellers_with_categories[[#This Row],[User Rating]]&gt;40,"recommended","not recommended")</f>
        <v>recommended</v>
      </c>
    </row>
    <row r="473" spans="1:9" x14ac:dyDescent="0.3">
      <c r="A473" t="s">
        <v>526</v>
      </c>
      <c r="B473" t="s">
        <v>527</v>
      </c>
      <c r="C473">
        <v>44</v>
      </c>
      <c r="D473" s="12">
        <v>3759</v>
      </c>
      <c r="E473" s="1">
        <v>6</v>
      </c>
      <c r="F473">
        <v>2009</v>
      </c>
      <c r="G473" s="11" t="s">
        <v>12</v>
      </c>
      <c r="H473" s="1">
        <f>bestsellers_with_categories[[#This Row],[Reviews]]*bestsellers_with_categories[[#This Row],[Price]]</f>
        <v>22554</v>
      </c>
      <c r="I473" t="str">
        <f>IF(bestsellers_with_categories[[#This Row],[User Rating]]&gt;40,"recommended","not recommended")</f>
        <v>recommended</v>
      </c>
    </row>
    <row r="474" spans="1:9" x14ac:dyDescent="0.3">
      <c r="A474" t="s">
        <v>91</v>
      </c>
      <c r="B474" t="s">
        <v>92</v>
      </c>
      <c r="C474">
        <v>47</v>
      </c>
      <c r="D474" s="12">
        <v>1542</v>
      </c>
      <c r="E474" s="1">
        <v>14</v>
      </c>
      <c r="F474">
        <v>2009</v>
      </c>
      <c r="G474" s="11" t="s">
        <v>9</v>
      </c>
      <c r="H474" s="1">
        <f>bestsellers_with_categories[[#This Row],[Reviews]]*bestsellers_with_categories[[#This Row],[Price]]</f>
        <v>21588</v>
      </c>
      <c r="I474" t="str">
        <f>IF(bestsellers_with_categories[[#This Row],[User Rating]]&gt;40,"recommended","not recommended")</f>
        <v>recommended</v>
      </c>
    </row>
    <row r="475" spans="1:9" x14ac:dyDescent="0.3">
      <c r="A475" t="s">
        <v>91</v>
      </c>
      <c r="B475" t="s">
        <v>92</v>
      </c>
      <c r="C475">
        <v>47</v>
      </c>
      <c r="D475">
        <v>1542</v>
      </c>
      <c r="E475" s="1">
        <v>14</v>
      </c>
      <c r="F475">
        <v>2010</v>
      </c>
      <c r="G475" t="s">
        <v>9</v>
      </c>
      <c r="H475" s="1">
        <f>bestsellers_with_categories[[#This Row],[Reviews]]*bestsellers_with_categories[[#This Row],[Price]]</f>
        <v>21588</v>
      </c>
      <c r="I475" t="str">
        <f>IF(bestsellers_with_categories[[#This Row],[User Rating]]&gt;40,"recommended","not recommended")</f>
        <v>recommended</v>
      </c>
    </row>
    <row r="476" spans="1:9" x14ac:dyDescent="0.3">
      <c r="A476" t="s">
        <v>91</v>
      </c>
      <c r="B476" t="s">
        <v>92</v>
      </c>
      <c r="C476">
        <v>47</v>
      </c>
      <c r="D476">
        <v>1542</v>
      </c>
      <c r="E476" s="1">
        <v>14</v>
      </c>
      <c r="F476">
        <v>2011</v>
      </c>
      <c r="G476" t="s">
        <v>9</v>
      </c>
      <c r="H476" s="1">
        <f>bestsellers_with_categories[[#This Row],[Reviews]]*bestsellers_with_categories[[#This Row],[Price]]</f>
        <v>21588</v>
      </c>
      <c r="I476" t="str">
        <f>IF(bestsellers_with_categories[[#This Row],[User Rating]]&gt;40,"recommended","not recommended")</f>
        <v>recommended</v>
      </c>
    </row>
    <row r="477" spans="1:9" x14ac:dyDescent="0.3">
      <c r="A477" t="s">
        <v>479</v>
      </c>
      <c r="B477" t="s">
        <v>480</v>
      </c>
      <c r="C477">
        <v>48</v>
      </c>
      <c r="D477" s="12">
        <v>1655</v>
      </c>
      <c r="E477" s="1">
        <v>13</v>
      </c>
      <c r="F477">
        <v>2009</v>
      </c>
      <c r="G477" s="11" t="s">
        <v>9</v>
      </c>
      <c r="H477" s="1">
        <f>bestsellers_with_categories[[#This Row],[Reviews]]*bestsellers_with_categories[[#This Row],[Price]]</f>
        <v>21515</v>
      </c>
      <c r="I477" t="str">
        <f>IF(bestsellers_with_categories[[#This Row],[User Rating]]&gt;40,"recommended","not recommended")</f>
        <v>recommended</v>
      </c>
    </row>
    <row r="478" spans="1:9" x14ac:dyDescent="0.3">
      <c r="A478" t="s">
        <v>290</v>
      </c>
      <c r="B478" t="s">
        <v>291</v>
      </c>
      <c r="C478">
        <v>42</v>
      </c>
      <c r="D478">
        <v>1649</v>
      </c>
      <c r="E478" s="1">
        <v>13</v>
      </c>
      <c r="F478">
        <v>2011</v>
      </c>
      <c r="G478" t="s">
        <v>9</v>
      </c>
      <c r="H478" s="1">
        <f>bestsellers_with_categories[[#This Row],[Reviews]]*bestsellers_with_categories[[#This Row],[Price]]</f>
        <v>21437</v>
      </c>
      <c r="I478" t="str">
        <f>IF(bestsellers_with_categories[[#This Row],[User Rating]]&gt;40,"recommended","not recommended")</f>
        <v>recommended</v>
      </c>
    </row>
    <row r="479" spans="1:9" x14ac:dyDescent="0.3">
      <c r="A479" t="s">
        <v>441</v>
      </c>
      <c r="B479" t="s">
        <v>438</v>
      </c>
      <c r="C479">
        <v>44</v>
      </c>
      <c r="D479" s="12">
        <v>10559</v>
      </c>
      <c r="E479" s="1">
        <v>2</v>
      </c>
      <c r="F479">
        <v>2009</v>
      </c>
      <c r="G479" s="11" t="s">
        <v>12</v>
      </c>
      <c r="H479" s="1">
        <f>bestsellers_with_categories[[#This Row],[Reviews]]*bestsellers_with_categories[[#This Row],[Price]]</f>
        <v>21118</v>
      </c>
      <c r="I479" t="str">
        <f>IF(bestsellers_with_categories[[#This Row],[User Rating]]&gt;40,"recommended","not recommended")</f>
        <v>recommended</v>
      </c>
    </row>
    <row r="480" spans="1:9" x14ac:dyDescent="0.3">
      <c r="A480" t="s">
        <v>441</v>
      </c>
      <c r="B480" t="s">
        <v>438</v>
      </c>
      <c r="C480">
        <v>44</v>
      </c>
      <c r="D480">
        <v>10559</v>
      </c>
      <c r="E480" s="1">
        <v>2</v>
      </c>
      <c r="F480">
        <v>2010</v>
      </c>
      <c r="G480" t="s">
        <v>12</v>
      </c>
      <c r="H480" s="1">
        <f>bestsellers_with_categories[[#This Row],[Reviews]]*bestsellers_with_categories[[#This Row],[Price]]</f>
        <v>21118</v>
      </c>
      <c r="I480" t="str">
        <f>IF(bestsellers_with_categories[[#This Row],[User Rating]]&gt;40,"recommended","not recommended")</f>
        <v>recommended</v>
      </c>
    </row>
    <row r="481" spans="1:9" x14ac:dyDescent="0.3">
      <c r="A481" t="s">
        <v>61</v>
      </c>
      <c r="B481" t="s">
        <v>62</v>
      </c>
      <c r="C481">
        <v>46</v>
      </c>
      <c r="D481">
        <v>1909</v>
      </c>
      <c r="E481" s="1">
        <v>11</v>
      </c>
      <c r="F481">
        <v>2015</v>
      </c>
      <c r="G481" t="s">
        <v>9</v>
      </c>
      <c r="H481" s="1">
        <f>bestsellers_with_categories[[#This Row],[Reviews]]*bestsellers_with_categories[[#This Row],[Price]]</f>
        <v>20999</v>
      </c>
      <c r="I481" t="str">
        <f>IF(bestsellers_with_categories[[#This Row],[User Rating]]&gt;40,"recommended","not recommended")</f>
        <v>recommended</v>
      </c>
    </row>
    <row r="482" spans="1:9" x14ac:dyDescent="0.3">
      <c r="A482" t="s">
        <v>426</v>
      </c>
      <c r="B482" t="s">
        <v>427</v>
      </c>
      <c r="C482">
        <v>4</v>
      </c>
      <c r="D482" s="12">
        <v>1859</v>
      </c>
      <c r="E482" s="1">
        <v>11</v>
      </c>
      <c r="F482">
        <v>2009</v>
      </c>
      <c r="G482" s="11" t="s">
        <v>12</v>
      </c>
      <c r="H482" s="1">
        <f>bestsellers_with_categories[[#This Row],[Reviews]]*bestsellers_with_categories[[#This Row],[Price]]</f>
        <v>20449</v>
      </c>
      <c r="I482" t="str">
        <f>IF(bestsellers_with_categories[[#This Row],[User Rating]]&gt;40,"recommended","not recommended")</f>
        <v>not recommended</v>
      </c>
    </row>
    <row r="483" spans="1:9" x14ac:dyDescent="0.3">
      <c r="A483" t="s">
        <v>387</v>
      </c>
      <c r="B483" t="s">
        <v>388</v>
      </c>
      <c r="C483">
        <v>48</v>
      </c>
      <c r="D483" s="12">
        <v>1680</v>
      </c>
      <c r="E483" s="1">
        <v>12</v>
      </c>
      <c r="F483">
        <v>2009</v>
      </c>
      <c r="G483" s="11" t="s">
        <v>9</v>
      </c>
      <c r="H483" s="1">
        <f>bestsellers_with_categories[[#This Row],[Reviews]]*bestsellers_with_categories[[#This Row],[Price]]</f>
        <v>20160</v>
      </c>
      <c r="I483" t="str">
        <f>IF(bestsellers_with_categories[[#This Row],[User Rating]]&gt;40,"recommended","not recommended")</f>
        <v>recommended</v>
      </c>
    </row>
    <row r="484" spans="1:9" x14ac:dyDescent="0.3">
      <c r="A484" t="s">
        <v>265</v>
      </c>
      <c r="B484" t="s">
        <v>266</v>
      </c>
      <c r="C484">
        <v>48</v>
      </c>
      <c r="D484">
        <v>2507</v>
      </c>
      <c r="E484" s="1">
        <v>8</v>
      </c>
      <c r="F484">
        <v>2018</v>
      </c>
      <c r="G484" t="s">
        <v>9</v>
      </c>
      <c r="H484" s="1">
        <f>bestsellers_with_categories[[#This Row],[Reviews]]*bestsellers_with_categories[[#This Row],[Price]]</f>
        <v>20056</v>
      </c>
      <c r="I484" t="str">
        <f>IF(bestsellers_with_categories[[#This Row],[User Rating]]&gt;40,"recommended","not recommended")</f>
        <v>recommended</v>
      </c>
    </row>
    <row r="485" spans="1:9" x14ac:dyDescent="0.3">
      <c r="A485" t="s">
        <v>41</v>
      </c>
      <c r="B485" t="s">
        <v>42</v>
      </c>
      <c r="C485">
        <v>45</v>
      </c>
      <c r="D485">
        <v>2426</v>
      </c>
      <c r="E485" s="1">
        <v>8</v>
      </c>
      <c r="F485">
        <v>2015</v>
      </c>
      <c r="G485" t="s">
        <v>9</v>
      </c>
      <c r="H485" s="1">
        <f>bestsellers_with_categories[[#This Row],[Reviews]]*bestsellers_with_categories[[#This Row],[Price]]</f>
        <v>19408</v>
      </c>
      <c r="I485" t="str">
        <f>IF(bestsellers_with_categories[[#This Row],[User Rating]]&gt;40,"recommended","not recommended")</f>
        <v>recommended</v>
      </c>
    </row>
    <row r="486" spans="1:9" x14ac:dyDescent="0.3">
      <c r="A486" t="s">
        <v>97</v>
      </c>
      <c r="B486" t="s">
        <v>96</v>
      </c>
      <c r="C486">
        <v>48</v>
      </c>
      <c r="D486">
        <v>3871</v>
      </c>
      <c r="E486" s="1">
        <v>5</v>
      </c>
      <c r="F486">
        <v>2015</v>
      </c>
      <c r="G486" t="s">
        <v>9</v>
      </c>
      <c r="H486" s="1">
        <f>bestsellers_with_categories[[#This Row],[Reviews]]*bestsellers_with_categories[[#This Row],[Price]]</f>
        <v>19355</v>
      </c>
      <c r="I486" t="str">
        <f>IF(bestsellers_with_categories[[#This Row],[User Rating]]&gt;40,"recommended","not recommended")</f>
        <v>recommended</v>
      </c>
    </row>
    <row r="487" spans="1:9" x14ac:dyDescent="0.3">
      <c r="A487" t="s">
        <v>429</v>
      </c>
      <c r="B487" t="s">
        <v>430</v>
      </c>
      <c r="C487">
        <v>46</v>
      </c>
      <c r="D487" s="12">
        <v>3207</v>
      </c>
      <c r="E487" s="1">
        <v>6</v>
      </c>
      <c r="F487">
        <v>2009</v>
      </c>
      <c r="G487" s="11" t="s">
        <v>9</v>
      </c>
      <c r="H487" s="1">
        <f>bestsellers_with_categories[[#This Row],[Reviews]]*bestsellers_with_categories[[#This Row],[Price]]</f>
        <v>19242</v>
      </c>
      <c r="I487" t="str">
        <f>IF(bestsellers_with_categories[[#This Row],[User Rating]]&gt;40,"recommended","not recommended")</f>
        <v>recommended</v>
      </c>
    </row>
    <row r="488" spans="1:9" x14ac:dyDescent="0.3">
      <c r="A488" t="s">
        <v>429</v>
      </c>
      <c r="B488" t="s">
        <v>430</v>
      </c>
      <c r="C488">
        <v>46</v>
      </c>
      <c r="D488">
        <v>3207</v>
      </c>
      <c r="E488" s="1">
        <v>6</v>
      </c>
      <c r="F488">
        <v>2010</v>
      </c>
      <c r="G488" t="s">
        <v>9</v>
      </c>
      <c r="H488" s="1">
        <f>bestsellers_with_categories[[#This Row],[Reviews]]*bestsellers_with_categories[[#This Row],[Price]]</f>
        <v>19242</v>
      </c>
      <c r="I488" t="str">
        <f>IF(bestsellers_with_categories[[#This Row],[User Rating]]&gt;40,"recommended","not recommended")</f>
        <v>recommended</v>
      </c>
    </row>
    <row r="489" spans="1:9" x14ac:dyDescent="0.3">
      <c r="A489" t="s">
        <v>429</v>
      </c>
      <c r="B489" t="s">
        <v>430</v>
      </c>
      <c r="C489">
        <v>46</v>
      </c>
      <c r="D489">
        <v>3207</v>
      </c>
      <c r="E489" s="1">
        <v>6</v>
      </c>
      <c r="F489">
        <v>2011</v>
      </c>
      <c r="G489" t="s">
        <v>9</v>
      </c>
      <c r="H489" s="1">
        <f>bestsellers_with_categories[[#This Row],[Reviews]]*bestsellers_with_categories[[#This Row],[Price]]</f>
        <v>19242</v>
      </c>
      <c r="I489" t="str">
        <f>IF(bestsellers_with_categories[[#This Row],[User Rating]]&gt;40,"recommended","not recommended")</f>
        <v>recommended</v>
      </c>
    </row>
    <row r="490" spans="1:9" x14ac:dyDescent="0.3">
      <c r="A490" t="s">
        <v>429</v>
      </c>
      <c r="B490" t="s">
        <v>430</v>
      </c>
      <c r="C490">
        <v>46</v>
      </c>
      <c r="D490">
        <v>3207</v>
      </c>
      <c r="E490" s="1">
        <v>6</v>
      </c>
      <c r="F490">
        <v>2012</v>
      </c>
      <c r="G490" t="s">
        <v>9</v>
      </c>
      <c r="H490" s="1">
        <f>bestsellers_with_categories[[#This Row],[Reviews]]*bestsellers_with_categories[[#This Row],[Price]]</f>
        <v>19242</v>
      </c>
      <c r="I490" t="str">
        <f>IF(bestsellers_with_categories[[#This Row],[User Rating]]&gt;40,"recommended","not recommended")</f>
        <v>recommended</v>
      </c>
    </row>
    <row r="491" spans="1:9" x14ac:dyDescent="0.3">
      <c r="A491" t="s">
        <v>429</v>
      </c>
      <c r="B491" t="s">
        <v>430</v>
      </c>
      <c r="C491">
        <v>46</v>
      </c>
      <c r="D491">
        <v>3207</v>
      </c>
      <c r="E491" s="1">
        <v>6</v>
      </c>
      <c r="F491">
        <v>2013</v>
      </c>
      <c r="G491" t="s">
        <v>9</v>
      </c>
      <c r="H491" s="1">
        <f>bestsellers_with_categories[[#This Row],[Reviews]]*bestsellers_with_categories[[#This Row],[Price]]</f>
        <v>19242</v>
      </c>
      <c r="I491" t="str">
        <f>IF(bestsellers_with_categories[[#This Row],[User Rating]]&gt;40,"recommended","not recommended")</f>
        <v>recommended</v>
      </c>
    </row>
    <row r="492" spans="1:9" x14ac:dyDescent="0.3">
      <c r="A492" t="s">
        <v>341</v>
      </c>
      <c r="B492" t="s">
        <v>342</v>
      </c>
      <c r="C492">
        <v>48</v>
      </c>
      <c r="D492">
        <v>4757</v>
      </c>
      <c r="E492" s="1">
        <v>4</v>
      </c>
      <c r="F492">
        <v>2017</v>
      </c>
      <c r="G492" t="s">
        <v>12</v>
      </c>
      <c r="H492" s="1">
        <f>bestsellers_with_categories[[#This Row],[Reviews]]*bestsellers_with_categories[[#This Row],[Price]]</f>
        <v>19028</v>
      </c>
      <c r="I492" t="str">
        <f>IF(bestsellers_with_categories[[#This Row],[User Rating]]&gt;40,"recommended","not recommended")</f>
        <v>recommended</v>
      </c>
    </row>
    <row r="493" spans="1:9" x14ac:dyDescent="0.3">
      <c r="A493" t="s">
        <v>302</v>
      </c>
      <c r="B493" t="s">
        <v>303</v>
      </c>
      <c r="C493">
        <v>44</v>
      </c>
      <c r="D493">
        <v>3113</v>
      </c>
      <c r="E493" s="1">
        <v>6</v>
      </c>
      <c r="F493">
        <v>2017</v>
      </c>
      <c r="G493" t="s">
        <v>9</v>
      </c>
      <c r="H493" s="1">
        <f>bestsellers_with_categories[[#This Row],[Reviews]]*bestsellers_with_categories[[#This Row],[Price]]</f>
        <v>18678</v>
      </c>
      <c r="I493" t="str">
        <f>IF(bestsellers_with_categories[[#This Row],[User Rating]]&gt;40,"recommended","not recommended")</f>
        <v>recommended</v>
      </c>
    </row>
    <row r="494" spans="1:9" x14ac:dyDescent="0.3">
      <c r="A494" t="s">
        <v>24</v>
      </c>
      <c r="B494" t="s">
        <v>25</v>
      </c>
      <c r="C494">
        <v>47</v>
      </c>
      <c r="D494">
        <v>5983</v>
      </c>
      <c r="E494" s="1">
        <v>3</v>
      </c>
      <c r="F494">
        <v>2018</v>
      </c>
      <c r="G494" t="s">
        <v>9</v>
      </c>
      <c r="H494" s="1">
        <f>bestsellers_with_categories[[#This Row],[Reviews]]*bestsellers_with_categories[[#This Row],[Price]]</f>
        <v>17949</v>
      </c>
      <c r="I494" t="str">
        <f>IF(bestsellers_with_categories[[#This Row],[User Rating]]&gt;40,"recommended","not recommended")</f>
        <v>recommended</v>
      </c>
    </row>
    <row r="495" spans="1:9" x14ac:dyDescent="0.3">
      <c r="A495" t="s">
        <v>345</v>
      </c>
      <c r="B495" t="s">
        <v>346</v>
      </c>
      <c r="C495">
        <v>47</v>
      </c>
      <c r="D495">
        <v>1985</v>
      </c>
      <c r="E495" s="1">
        <v>9</v>
      </c>
      <c r="F495">
        <v>2010</v>
      </c>
      <c r="G495" t="s">
        <v>9</v>
      </c>
      <c r="H495" s="1">
        <f>bestsellers_with_categories[[#This Row],[Reviews]]*bestsellers_with_categories[[#This Row],[Price]]</f>
        <v>17865</v>
      </c>
      <c r="I495" t="str">
        <f>IF(bestsellers_with_categories[[#This Row],[User Rating]]&gt;40,"recommended","not recommended")</f>
        <v>recommended</v>
      </c>
    </row>
    <row r="496" spans="1:9" x14ac:dyDescent="0.3">
      <c r="A496" t="s">
        <v>345</v>
      </c>
      <c r="B496" t="s">
        <v>346</v>
      </c>
      <c r="C496">
        <v>47</v>
      </c>
      <c r="D496">
        <v>1985</v>
      </c>
      <c r="E496" s="1">
        <v>9</v>
      </c>
      <c r="F496">
        <v>2011</v>
      </c>
      <c r="G496" t="s">
        <v>9</v>
      </c>
      <c r="H496" s="1">
        <f>bestsellers_with_categories[[#This Row],[Reviews]]*bestsellers_with_categories[[#This Row],[Price]]</f>
        <v>17865</v>
      </c>
      <c r="I496" t="str">
        <f>IF(bestsellers_with_categories[[#This Row],[User Rating]]&gt;40,"recommended","not recommended")</f>
        <v>recommended</v>
      </c>
    </row>
    <row r="497" spans="1:9" x14ac:dyDescent="0.3">
      <c r="A497" t="s">
        <v>40</v>
      </c>
      <c r="B497" t="s">
        <v>39</v>
      </c>
      <c r="C497">
        <v>44</v>
      </c>
      <c r="D497">
        <v>2951</v>
      </c>
      <c r="E497" s="1">
        <v>6</v>
      </c>
      <c r="F497">
        <v>2015</v>
      </c>
      <c r="G497" t="s">
        <v>9</v>
      </c>
      <c r="H497" s="1">
        <f>bestsellers_with_categories[[#This Row],[Reviews]]*bestsellers_with_categories[[#This Row],[Price]]</f>
        <v>17706</v>
      </c>
      <c r="I497" t="str">
        <f>IF(bestsellers_with_categories[[#This Row],[User Rating]]&gt;40,"recommended","not recommended")</f>
        <v>recommended</v>
      </c>
    </row>
    <row r="498" spans="1:9" x14ac:dyDescent="0.3">
      <c r="A498" t="s">
        <v>38</v>
      </c>
      <c r="B498" t="s">
        <v>39</v>
      </c>
      <c r="C498">
        <v>46</v>
      </c>
      <c r="D498">
        <v>2925</v>
      </c>
      <c r="E498" s="1">
        <v>6</v>
      </c>
      <c r="F498">
        <v>2015</v>
      </c>
      <c r="G498" t="s">
        <v>9</v>
      </c>
      <c r="H498" s="1">
        <f>bestsellers_with_categories[[#This Row],[Reviews]]*bestsellers_with_categories[[#This Row],[Price]]</f>
        <v>17550</v>
      </c>
      <c r="I498" t="str">
        <f>IF(bestsellers_with_categories[[#This Row],[User Rating]]&gt;40,"recommended","not recommended")</f>
        <v>recommended</v>
      </c>
    </row>
    <row r="499" spans="1:9" x14ac:dyDescent="0.3">
      <c r="A499" t="s">
        <v>512</v>
      </c>
      <c r="B499" t="s">
        <v>513</v>
      </c>
      <c r="C499">
        <v>46</v>
      </c>
      <c r="D499">
        <v>1204</v>
      </c>
      <c r="E499" s="1">
        <v>14</v>
      </c>
      <c r="F499">
        <v>2010</v>
      </c>
      <c r="G499" t="s">
        <v>9</v>
      </c>
      <c r="H499" s="1">
        <f>bestsellers_with_categories[[#This Row],[Reviews]]*bestsellers_with_categories[[#This Row],[Price]]</f>
        <v>16856</v>
      </c>
      <c r="I499" t="str">
        <f>IF(bestsellers_with_categories[[#This Row],[User Rating]]&gt;40,"recommended","not recommended")</f>
        <v>recommended</v>
      </c>
    </row>
    <row r="500" spans="1:9" x14ac:dyDescent="0.3">
      <c r="A500" t="s">
        <v>325</v>
      </c>
      <c r="B500" t="s">
        <v>273</v>
      </c>
      <c r="C500">
        <v>45</v>
      </c>
      <c r="D500">
        <v>1831</v>
      </c>
      <c r="E500" s="1">
        <v>9</v>
      </c>
      <c r="F500">
        <v>2017</v>
      </c>
      <c r="G500" t="s">
        <v>9</v>
      </c>
      <c r="H500" s="1">
        <f>bestsellers_with_categories[[#This Row],[Reviews]]*bestsellers_with_categories[[#This Row],[Price]]</f>
        <v>16479</v>
      </c>
      <c r="I500" t="str">
        <f>IF(bestsellers_with_categories[[#This Row],[User Rating]]&gt;40,"recommended","not recommended")</f>
        <v>recommended</v>
      </c>
    </row>
    <row r="501" spans="1:9" x14ac:dyDescent="0.3">
      <c r="A501" t="s">
        <v>95</v>
      </c>
      <c r="B501" t="s">
        <v>96</v>
      </c>
      <c r="C501">
        <v>48</v>
      </c>
      <c r="D501">
        <v>4022</v>
      </c>
      <c r="E501" s="1">
        <v>4</v>
      </c>
      <c r="F501">
        <v>2015</v>
      </c>
      <c r="G501" t="s">
        <v>9</v>
      </c>
      <c r="H501" s="1">
        <f>bestsellers_with_categories[[#This Row],[Reviews]]*bestsellers_with_categories[[#This Row],[Price]]</f>
        <v>16088</v>
      </c>
      <c r="I501" t="str">
        <f>IF(bestsellers_with_categories[[#This Row],[User Rating]]&gt;40,"recommended","not recommended")</f>
        <v>recommended</v>
      </c>
    </row>
    <row r="502" spans="1:9" x14ac:dyDescent="0.3">
      <c r="A502" t="s">
        <v>106</v>
      </c>
      <c r="B502" t="s">
        <v>105</v>
      </c>
      <c r="C502">
        <v>43</v>
      </c>
      <c r="D502">
        <v>1924</v>
      </c>
      <c r="E502" s="1">
        <v>8</v>
      </c>
      <c r="F502">
        <v>2010</v>
      </c>
      <c r="G502" t="s">
        <v>12</v>
      </c>
      <c r="H502" s="1">
        <f>bestsellers_with_categories[[#This Row],[Reviews]]*bestsellers_with_categories[[#This Row],[Price]]</f>
        <v>15392</v>
      </c>
      <c r="I502" t="str">
        <f>IF(bestsellers_with_categories[[#This Row],[User Rating]]&gt;40,"recommended","not recommended")</f>
        <v>recommended</v>
      </c>
    </row>
    <row r="503" spans="1:9" x14ac:dyDescent="0.3">
      <c r="A503" t="s">
        <v>182</v>
      </c>
      <c r="B503" t="s">
        <v>54</v>
      </c>
      <c r="C503">
        <v>46</v>
      </c>
      <c r="D503" s="12">
        <v>1365</v>
      </c>
      <c r="E503" s="1">
        <v>11</v>
      </c>
      <c r="F503">
        <v>2009</v>
      </c>
      <c r="G503" s="11" t="s">
        <v>9</v>
      </c>
      <c r="H503" s="1">
        <f>bestsellers_with_categories[[#This Row],[Reviews]]*bestsellers_with_categories[[#This Row],[Price]]</f>
        <v>15015</v>
      </c>
      <c r="I503" t="str">
        <f>IF(bestsellers_with_categories[[#This Row],[User Rating]]&gt;40,"recommended","not recommended")</f>
        <v>recommended</v>
      </c>
    </row>
    <row r="504" spans="1:9" x14ac:dyDescent="0.3">
      <c r="A504" t="s">
        <v>267</v>
      </c>
      <c r="B504" t="s">
        <v>268</v>
      </c>
      <c r="C504">
        <v>45</v>
      </c>
      <c r="D504">
        <v>3673</v>
      </c>
      <c r="E504" s="1">
        <v>4</v>
      </c>
      <c r="F504">
        <v>2013</v>
      </c>
      <c r="G504" t="s">
        <v>9</v>
      </c>
      <c r="H504" s="1">
        <f>bestsellers_with_categories[[#This Row],[Reviews]]*bestsellers_with_categories[[#This Row],[Price]]</f>
        <v>14692</v>
      </c>
      <c r="I504" t="str">
        <f>IF(bestsellers_with_categories[[#This Row],[User Rating]]&gt;40,"recommended","not recommended")</f>
        <v>recommended</v>
      </c>
    </row>
    <row r="505" spans="1:9" x14ac:dyDescent="0.3">
      <c r="A505" t="s">
        <v>267</v>
      </c>
      <c r="B505" t="s">
        <v>268</v>
      </c>
      <c r="C505">
        <v>45</v>
      </c>
      <c r="D505">
        <v>3673</v>
      </c>
      <c r="E505" s="1">
        <v>4</v>
      </c>
      <c r="F505">
        <v>2014</v>
      </c>
      <c r="G505" t="s">
        <v>9</v>
      </c>
      <c r="H505" s="1">
        <f>bestsellers_with_categories[[#This Row],[Reviews]]*bestsellers_with_categories[[#This Row],[Price]]</f>
        <v>14692</v>
      </c>
      <c r="I505" t="str">
        <f>IF(bestsellers_with_categories[[#This Row],[User Rating]]&gt;40,"recommended","not recommended")</f>
        <v>recommended</v>
      </c>
    </row>
    <row r="506" spans="1:9" x14ac:dyDescent="0.3">
      <c r="A506" t="s">
        <v>267</v>
      </c>
      <c r="B506" t="s">
        <v>268</v>
      </c>
      <c r="C506">
        <v>45</v>
      </c>
      <c r="D506">
        <v>3673</v>
      </c>
      <c r="E506" s="1">
        <v>4</v>
      </c>
      <c r="F506">
        <v>2015</v>
      </c>
      <c r="G506" t="s">
        <v>9</v>
      </c>
      <c r="H506" s="1">
        <f>bestsellers_with_categories[[#This Row],[Reviews]]*bestsellers_with_categories[[#This Row],[Price]]</f>
        <v>14692</v>
      </c>
      <c r="I506" t="str">
        <f>IF(bestsellers_with_categories[[#This Row],[User Rating]]&gt;40,"recommended","not recommended")</f>
        <v>recommended</v>
      </c>
    </row>
    <row r="507" spans="1:9" x14ac:dyDescent="0.3">
      <c r="A507" t="s">
        <v>282</v>
      </c>
      <c r="B507" t="s">
        <v>283</v>
      </c>
      <c r="C507">
        <v>41</v>
      </c>
      <c r="D507">
        <v>1467</v>
      </c>
      <c r="E507" s="1">
        <v>10</v>
      </c>
      <c r="F507">
        <v>2010</v>
      </c>
      <c r="G507" t="s">
        <v>12</v>
      </c>
      <c r="H507" s="1">
        <f>bestsellers_with_categories[[#This Row],[Reviews]]*bestsellers_with_categories[[#This Row],[Price]]</f>
        <v>14670</v>
      </c>
      <c r="I507" t="str">
        <f>IF(bestsellers_with_categories[[#This Row],[User Rating]]&gt;40,"recommended","not recommended")</f>
        <v>recommended</v>
      </c>
    </row>
    <row r="508" spans="1:9" x14ac:dyDescent="0.3">
      <c r="A508" t="s">
        <v>525</v>
      </c>
      <c r="B508" t="s">
        <v>333</v>
      </c>
      <c r="C508">
        <v>47</v>
      </c>
      <c r="D508">
        <v>1463</v>
      </c>
      <c r="E508" s="1">
        <v>10</v>
      </c>
      <c r="F508">
        <v>2011</v>
      </c>
      <c r="G508" t="s">
        <v>12</v>
      </c>
      <c r="H508" s="1">
        <f>bestsellers_with_categories[[#This Row],[Reviews]]*bestsellers_with_categories[[#This Row],[Price]]</f>
        <v>14630</v>
      </c>
      <c r="I508" t="str">
        <f>IF(bestsellers_with_categories[[#This Row],[User Rating]]&gt;40,"recommended","not recommended")</f>
        <v>recommended</v>
      </c>
    </row>
    <row r="509" spans="1:9" x14ac:dyDescent="0.3">
      <c r="A509" t="s">
        <v>601</v>
      </c>
      <c r="B509" t="s">
        <v>602</v>
      </c>
      <c r="C509">
        <v>42</v>
      </c>
      <c r="D509">
        <v>1302</v>
      </c>
      <c r="E509" s="1">
        <v>11</v>
      </c>
      <c r="F509">
        <v>2010</v>
      </c>
      <c r="G509" t="s">
        <v>9</v>
      </c>
      <c r="H509" s="1">
        <f>bestsellers_with_categories[[#This Row],[Reviews]]*bestsellers_with_categories[[#This Row],[Price]]</f>
        <v>14322</v>
      </c>
      <c r="I509" t="str">
        <f>IF(bestsellers_with_categories[[#This Row],[User Rating]]&gt;40,"recommended","not recommended")</f>
        <v>recommended</v>
      </c>
    </row>
    <row r="510" spans="1:9" x14ac:dyDescent="0.3">
      <c r="A510" t="s">
        <v>165</v>
      </c>
      <c r="B510" t="s">
        <v>166</v>
      </c>
      <c r="C510">
        <v>44</v>
      </c>
      <c r="D510">
        <v>1555</v>
      </c>
      <c r="E510" s="1">
        <v>9</v>
      </c>
      <c r="F510">
        <v>2010</v>
      </c>
      <c r="G510" t="s">
        <v>9</v>
      </c>
      <c r="H510" s="1">
        <f>bestsellers_with_categories[[#This Row],[Reviews]]*bestsellers_with_categories[[#This Row],[Price]]</f>
        <v>13995</v>
      </c>
      <c r="I510" t="str">
        <f>IF(bestsellers_with_categories[[#This Row],[User Rating]]&gt;40,"recommended","not recommended")</f>
        <v>recommended</v>
      </c>
    </row>
    <row r="511" spans="1:9" x14ac:dyDescent="0.3">
      <c r="A511" t="s">
        <v>359</v>
      </c>
      <c r="B511" t="s">
        <v>360</v>
      </c>
      <c r="C511">
        <v>47</v>
      </c>
      <c r="D511">
        <v>1265</v>
      </c>
      <c r="E511" s="1">
        <v>11</v>
      </c>
      <c r="F511">
        <v>2010</v>
      </c>
      <c r="G511" t="s">
        <v>9</v>
      </c>
      <c r="H511" s="1">
        <f>bestsellers_with_categories[[#This Row],[Reviews]]*bestsellers_with_categories[[#This Row],[Price]]</f>
        <v>13915</v>
      </c>
      <c r="I511" t="str">
        <f>IF(bestsellers_with_categories[[#This Row],[User Rating]]&gt;40,"recommended","not recommended")</f>
        <v>recommended</v>
      </c>
    </row>
    <row r="512" spans="1:9" x14ac:dyDescent="0.3">
      <c r="A512" t="s">
        <v>363</v>
      </c>
      <c r="B512" t="s">
        <v>364</v>
      </c>
      <c r="C512">
        <v>41</v>
      </c>
      <c r="D512">
        <v>2272</v>
      </c>
      <c r="E512" s="1">
        <v>6</v>
      </c>
      <c r="F512">
        <v>2013</v>
      </c>
      <c r="G512" t="s">
        <v>9</v>
      </c>
      <c r="H512" s="1">
        <f>bestsellers_with_categories[[#This Row],[Reviews]]*bestsellers_with_categories[[#This Row],[Price]]</f>
        <v>13632</v>
      </c>
      <c r="I512" t="str">
        <f>IF(bestsellers_with_categories[[#This Row],[User Rating]]&gt;40,"recommended","not recommended")</f>
        <v>recommended</v>
      </c>
    </row>
    <row r="513" spans="1:9" x14ac:dyDescent="0.3">
      <c r="A513" t="s">
        <v>141</v>
      </c>
      <c r="B513" t="s">
        <v>140</v>
      </c>
      <c r="C513">
        <v>43</v>
      </c>
      <c r="D513" s="12">
        <v>956</v>
      </c>
      <c r="E513" s="1">
        <v>14</v>
      </c>
      <c r="F513">
        <v>2009</v>
      </c>
      <c r="G513" s="11" t="s">
        <v>9</v>
      </c>
      <c r="H513" s="1">
        <f>bestsellers_with_categories[[#This Row],[Reviews]]*bestsellers_with_categories[[#This Row],[Price]]</f>
        <v>13384</v>
      </c>
      <c r="I513" t="str">
        <f>IF(bestsellers_with_categories[[#This Row],[User Rating]]&gt;40,"recommended","not recommended")</f>
        <v>recommended</v>
      </c>
    </row>
    <row r="514" spans="1:9" x14ac:dyDescent="0.3">
      <c r="A514" t="s">
        <v>100</v>
      </c>
      <c r="B514" t="s">
        <v>101</v>
      </c>
      <c r="C514">
        <v>48</v>
      </c>
      <c r="D514">
        <v>1329</v>
      </c>
      <c r="E514" s="1">
        <v>10</v>
      </c>
      <c r="F514">
        <v>2013</v>
      </c>
      <c r="G514" t="s">
        <v>9</v>
      </c>
      <c r="H514" s="1">
        <f>bestsellers_with_categories[[#This Row],[Reviews]]*bestsellers_with_categories[[#This Row],[Price]]</f>
        <v>13290</v>
      </c>
      <c r="I514" t="str">
        <f>IF(bestsellers_with_categories[[#This Row],[User Rating]]&gt;40,"recommended","not recommended")</f>
        <v>recommended</v>
      </c>
    </row>
    <row r="515" spans="1:9" x14ac:dyDescent="0.3">
      <c r="A515" t="s">
        <v>566</v>
      </c>
      <c r="B515" t="s">
        <v>60</v>
      </c>
      <c r="C515">
        <v>45</v>
      </c>
      <c r="D515">
        <v>2586</v>
      </c>
      <c r="E515" s="1">
        <v>5</v>
      </c>
      <c r="F515">
        <v>2014</v>
      </c>
      <c r="G515" t="s">
        <v>12</v>
      </c>
      <c r="H515" s="1">
        <f>bestsellers_with_categories[[#This Row],[Reviews]]*bestsellers_with_categories[[#This Row],[Price]]</f>
        <v>12930</v>
      </c>
      <c r="I515" t="str">
        <f>IF(bestsellers_with_categories[[#This Row],[User Rating]]&gt;40,"recommended","not recommended")</f>
        <v>recommended</v>
      </c>
    </row>
    <row r="516" spans="1:9" x14ac:dyDescent="0.3">
      <c r="A516" t="s">
        <v>65</v>
      </c>
      <c r="B516" t="s">
        <v>64</v>
      </c>
      <c r="C516">
        <v>47</v>
      </c>
      <c r="D516">
        <v>615</v>
      </c>
      <c r="E516" s="1">
        <v>21</v>
      </c>
      <c r="F516">
        <v>2010</v>
      </c>
      <c r="G516" t="s">
        <v>9</v>
      </c>
      <c r="H516" s="1">
        <f>bestsellers_with_categories[[#This Row],[Reviews]]*bestsellers_with_categories[[#This Row],[Price]]</f>
        <v>12915</v>
      </c>
      <c r="I516" t="str">
        <f>IF(bestsellers_with_categories[[#This Row],[User Rating]]&gt;40,"recommended","not recommended")</f>
        <v>recommended</v>
      </c>
    </row>
    <row r="517" spans="1:9" x14ac:dyDescent="0.3">
      <c r="A517" t="s">
        <v>378</v>
      </c>
      <c r="B517" t="s">
        <v>379</v>
      </c>
      <c r="C517">
        <v>44</v>
      </c>
      <c r="D517">
        <v>637</v>
      </c>
      <c r="E517" s="1">
        <v>20</v>
      </c>
      <c r="F517">
        <v>2010</v>
      </c>
      <c r="G517" t="s">
        <v>9</v>
      </c>
      <c r="H517" s="1">
        <f>bestsellers_with_categories[[#This Row],[Reviews]]*bestsellers_with_categories[[#This Row],[Price]]</f>
        <v>12740</v>
      </c>
      <c r="I517" t="str">
        <f>IF(bestsellers_with_categories[[#This Row],[User Rating]]&gt;40,"recommended","not recommended")</f>
        <v>recommended</v>
      </c>
    </row>
    <row r="518" spans="1:9" x14ac:dyDescent="0.3">
      <c r="A518" t="s">
        <v>378</v>
      </c>
      <c r="B518" t="s">
        <v>379</v>
      </c>
      <c r="C518">
        <v>44</v>
      </c>
      <c r="D518">
        <v>637</v>
      </c>
      <c r="E518" s="1">
        <v>20</v>
      </c>
      <c r="F518">
        <v>2011</v>
      </c>
      <c r="G518" t="s">
        <v>9</v>
      </c>
      <c r="H518" s="1">
        <f>bestsellers_with_categories[[#This Row],[Reviews]]*bestsellers_with_categories[[#This Row],[Price]]</f>
        <v>12740</v>
      </c>
      <c r="I518" t="str">
        <f>IF(bestsellers_with_categories[[#This Row],[User Rating]]&gt;40,"recommended","not recommended")</f>
        <v>recommended</v>
      </c>
    </row>
    <row r="519" spans="1:9" x14ac:dyDescent="0.3">
      <c r="A519" t="s">
        <v>154</v>
      </c>
      <c r="B519" t="s">
        <v>155</v>
      </c>
      <c r="C519">
        <v>44</v>
      </c>
      <c r="D519">
        <v>6042</v>
      </c>
      <c r="E519" s="1">
        <v>2</v>
      </c>
      <c r="F519">
        <v>2018</v>
      </c>
      <c r="G519" t="s">
        <v>9</v>
      </c>
      <c r="H519" s="1">
        <f>bestsellers_with_categories[[#This Row],[Reviews]]*bestsellers_with_categories[[#This Row],[Price]]</f>
        <v>12084</v>
      </c>
      <c r="I519" t="str">
        <f>IF(bestsellers_with_categories[[#This Row],[User Rating]]&gt;40,"recommended","not recommended")</f>
        <v>recommended</v>
      </c>
    </row>
    <row r="520" spans="1:9" x14ac:dyDescent="0.3">
      <c r="A520" t="s">
        <v>169</v>
      </c>
      <c r="B520" t="s">
        <v>170</v>
      </c>
      <c r="C520">
        <v>44</v>
      </c>
      <c r="D520">
        <v>1215</v>
      </c>
      <c r="E520" s="1">
        <v>9</v>
      </c>
      <c r="F520">
        <v>2010</v>
      </c>
      <c r="G520" t="s">
        <v>9</v>
      </c>
      <c r="H520" s="1">
        <f>bestsellers_with_categories[[#This Row],[Reviews]]*bestsellers_with_categories[[#This Row],[Price]]</f>
        <v>10935</v>
      </c>
      <c r="I520" t="str">
        <f>IF(bestsellers_with_categories[[#This Row],[User Rating]]&gt;40,"recommended","not recommended")</f>
        <v>recommended</v>
      </c>
    </row>
    <row r="521" spans="1:9" x14ac:dyDescent="0.3">
      <c r="A521" t="s">
        <v>135</v>
      </c>
      <c r="B521" t="s">
        <v>136</v>
      </c>
      <c r="C521">
        <v>46</v>
      </c>
      <c r="D521">
        <v>2134</v>
      </c>
      <c r="E521" s="1">
        <v>5</v>
      </c>
      <c r="F521">
        <v>2015</v>
      </c>
      <c r="G521" t="s">
        <v>9</v>
      </c>
      <c r="H521" s="1">
        <f>bestsellers_with_categories[[#This Row],[Reviews]]*bestsellers_with_categories[[#This Row],[Price]]</f>
        <v>10670</v>
      </c>
      <c r="I521" t="str">
        <f>IF(bestsellers_with_categories[[#This Row],[User Rating]]&gt;40,"recommended","not recommended")</f>
        <v>recommended</v>
      </c>
    </row>
    <row r="522" spans="1:9" x14ac:dyDescent="0.3">
      <c r="A522" t="s">
        <v>187</v>
      </c>
      <c r="B522" t="s">
        <v>188</v>
      </c>
      <c r="C522">
        <v>46</v>
      </c>
      <c r="D522" s="12">
        <v>1636</v>
      </c>
      <c r="E522" s="1">
        <v>6</v>
      </c>
      <c r="F522">
        <v>2009</v>
      </c>
      <c r="G522" s="11" t="s">
        <v>9</v>
      </c>
      <c r="H522" s="1">
        <f>bestsellers_with_categories[[#This Row],[Reviews]]*bestsellers_with_categories[[#This Row],[Price]]</f>
        <v>9816</v>
      </c>
      <c r="I522" t="str">
        <f>IF(bestsellers_with_categories[[#This Row],[User Rating]]&gt;40,"recommended","not recommended")</f>
        <v>recommended</v>
      </c>
    </row>
    <row r="523" spans="1:9" x14ac:dyDescent="0.3">
      <c r="A523" t="s">
        <v>36</v>
      </c>
      <c r="B523" t="s">
        <v>37</v>
      </c>
      <c r="C523">
        <v>45</v>
      </c>
      <c r="D523">
        <v>2313</v>
      </c>
      <c r="E523" s="1">
        <v>4</v>
      </c>
      <c r="F523">
        <v>2016</v>
      </c>
      <c r="G523" t="s">
        <v>9</v>
      </c>
      <c r="H523" s="1">
        <f>bestsellers_with_categories[[#This Row],[Reviews]]*bestsellers_with_categories[[#This Row],[Price]]</f>
        <v>9252</v>
      </c>
      <c r="I523" t="str">
        <f>IF(bestsellers_with_categories[[#This Row],[User Rating]]&gt;40,"recommended","not recommended")</f>
        <v>recommended</v>
      </c>
    </row>
    <row r="524" spans="1:9" x14ac:dyDescent="0.3">
      <c r="A524" t="s">
        <v>236</v>
      </c>
      <c r="B524" t="s">
        <v>237</v>
      </c>
      <c r="C524">
        <v>46</v>
      </c>
      <c r="D524" s="12">
        <v>1320</v>
      </c>
      <c r="E524" s="1">
        <v>7</v>
      </c>
      <c r="F524">
        <v>2009</v>
      </c>
      <c r="G524" s="11" t="s">
        <v>12</v>
      </c>
      <c r="H524" s="1">
        <f>bestsellers_with_categories[[#This Row],[Reviews]]*bestsellers_with_categories[[#This Row],[Price]]</f>
        <v>9240</v>
      </c>
      <c r="I524" t="str">
        <f>IF(bestsellers_with_categories[[#This Row],[User Rating]]&gt;40,"recommended","not recommended")</f>
        <v>recommended</v>
      </c>
    </row>
    <row r="525" spans="1:9" x14ac:dyDescent="0.3">
      <c r="A525" t="s">
        <v>107</v>
      </c>
      <c r="B525" t="s">
        <v>105</v>
      </c>
      <c r="C525">
        <v>42</v>
      </c>
      <c r="D525">
        <v>2094</v>
      </c>
      <c r="E525" s="1">
        <v>4</v>
      </c>
      <c r="F525">
        <v>2011</v>
      </c>
      <c r="G525" t="s">
        <v>12</v>
      </c>
      <c r="H525" s="1">
        <f>bestsellers_with_categories[[#This Row],[Reviews]]*bestsellers_with_categories[[#This Row],[Price]]</f>
        <v>8376</v>
      </c>
      <c r="I525" t="str">
        <f>IF(bestsellers_with_categories[[#This Row],[User Rating]]&gt;40,"recommended","not recommended")</f>
        <v>recommended</v>
      </c>
    </row>
    <row r="526" spans="1:9" x14ac:dyDescent="0.3">
      <c r="A526" t="s">
        <v>173</v>
      </c>
      <c r="B526" t="s">
        <v>174</v>
      </c>
      <c r="C526">
        <v>45</v>
      </c>
      <c r="D526">
        <v>408</v>
      </c>
      <c r="E526" s="1">
        <v>20</v>
      </c>
      <c r="F526">
        <v>2010</v>
      </c>
      <c r="G526" t="s">
        <v>9</v>
      </c>
      <c r="H526" s="1">
        <f>bestsellers_with_categories[[#This Row],[Reviews]]*bestsellers_with_categories[[#This Row],[Price]]</f>
        <v>8160</v>
      </c>
      <c r="I526" t="str">
        <f>IF(bestsellers_with_categories[[#This Row],[User Rating]]&gt;40,"recommended","not recommended")</f>
        <v>recommended</v>
      </c>
    </row>
    <row r="527" spans="1:9" x14ac:dyDescent="0.3">
      <c r="A527" t="s">
        <v>217</v>
      </c>
      <c r="B527" t="s">
        <v>218</v>
      </c>
      <c r="C527">
        <v>48</v>
      </c>
      <c r="D527" s="12">
        <v>1930</v>
      </c>
      <c r="E527" s="1">
        <v>4</v>
      </c>
      <c r="F527">
        <v>2009</v>
      </c>
      <c r="G527" s="11" t="s">
        <v>9</v>
      </c>
      <c r="H527" s="1">
        <f>bestsellers_with_categories[[#This Row],[Reviews]]*bestsellers_with_categories[[#This Row],[Price]]</f>
        <v>7720</v>
      </c>
      <c r="I527" t="str">
        <f>IF(bestsellers_with_categories[[#This Row],[User Rating]]&gt;40,"recommended","not recommended")</f>
        <v>recommended</v>
      </c>
    </row>
    <row r="528" spans="1:9" x14ac:dyDescent="0.3">
      <c r="A528" t="s">
        <v>431</v>
      </c>
      <c r="B528" t="s">
        <v>385</v>
      </c>
      <c r="C528">
        <v>46</v>
      </c>
      <c r="D528" s="12">
        <v>803</v>
      </c>
      <c r="E528" s="1">
        <v>9</v>
      </c>
      <c r="F528">
        <v>2009</v>
      </c>
      <c r="G528" s="11" t="s">
        <v>9</v>
      </c>
      <c r="H528" s="1">
        <f>bestsellers_with_categories[[#This Row],[Reviews]]*bestsellers_with_categories[[#This Row],[Price]]</f>
        <v>7227</v>
      </c>
      <c r="I528" t="str">
        <f>IF(bestsellers_with_categories[[#This Row],[User Rating]]&gt;40,"recommended","not recommended")</f>
        <v>recommended</v>
      </c>
    </row>
    <row r="529" spans="1:9" x14ac:dyDescent="0.3">
      <c r="A529" t="s">
        <v>57</v>
      </c>
      <c r="B529" t="s">
        <v>58</v>
      </c>
      <c r="C529">
        <v>42</v>
      </c>
      <c r="D529">
        <v>491</v>
      </c>
      <c r="E529" s="1">
        <v>14</v>
      </c>
      <c r="F529">
        <v>2010</v>
      </c>
      <c r="G529" t="s">
        <v>9</v>
      </c>
      <c r="H529" s="1">
        <f>bestsellers_with_categories[[#This Row],[Reviews]]*bestsellers_with_categories[[#This Row],[Price]]</f>
        <v>6874</v>
      </c>
      <c r="I529" t="str">
        <f>IF(bestsellers_with_categories[[#This Row],[User Rating]]&gt;40,"recommended","not recommended")</f>
        <v>recommended</v>
      </c>
    </row>
    <row r="530" spans="1:9" x14ac:dyDescent="0.3">
      <c r="A530" t="s">
        <v>563</v>
      </c>
      <c r="B530" t="s">
        <v>564</v>
      </c>
      <c r="C530">
        <v>45</v>
      </c>
      <c r="D530" s="12">
        <v>438</v>
      </c>
      <c r="E530" s="1">
        <v>15</v>
      </c>
      <c r="F530">
        <v>2009</v>
      </c>
      <c r="G530" s="11" t="s">
        <v>9</v>
      </c>
      <c r="H530" s="1">
        <f>bestsellers_with_categories[[#This Row],[Reviews]]*bestsellers_with_categories[[#This Row],[Price]]</f>
        <v>6570</v>
      </c>
      <c r="I530" t="str">
        <f>IF(bestsellers_with_categories[[#This Row],[User Rating]]&gt;40,"recommended","not recommended")</f>
        <v>recommended</v>
      </c>
    </row>
    <row r="531" spans="1:9" x14ac:dyDescent="0.3">
      <c r="A531" t="s">
        <v>104</v>
      </c>
      <c r="B531" t="s">
        <v>105</v>
      </c>
      <c r="C531">
        <v>46</v>
      </c>
      <c r="D531" s="12">
        <v>1541</v>
      </c>
      <c r="E531" s="1">
        <v>4</v>
      </c>
      <c r="F531">
        <v>2009</v>
      </c>
      <c r="G531" s="11" t="s">
        <v>12</v>
      </c>
      <c r="H531" s="1">
        <f>bestsellers_with_categories[[#This Row],[Reviews]]*bestsellers_with_categories[[#This Row],[Price]]</f>
        <v>6164</v>
      </c>
      <c r="I531" t="str">
        <f>IF(bestsellers_with_categories[[#This Row],[User Rating]]&gt;40,"recommended","not recommended")</f>
        <v>recommended</v>
      </c>
    </row>
    <row r="532" spans="1:9" x14ac:dyDescent="0.3">
      <c r="A532" t="s">
        <v>420</v>
      </c>
      <c r="B532" t="s">
        <v>421</v>
      </c>
      <c r="C532">
        <v>44</v>
      </c>
      <c r="D532">
        <v>440</v>
      </c>
      <c r="E532" s="1">
        <v>11</v>
      </c>
      <c r="F532">
        <v>2010</v>
      </c>
      <c r="G532" t="s">
        <v>9</v>
      </c>
      <c r="H532" s="1">
        <f>bestsellers_with_categories[[#This Row],[Reviews]]*bestsellers_with_categories[[#This Row],[Price]]</f>
        <v>4840</v>
      </c>
      <c r="I532" t="str">
        <f>IF(bestsellers_with_categories[[#This Row],[User Rating]]&gt;40,"recommended","not recommended")</f>
        <v>recommended</v>
      </c>
    </row>
    <row r="533" spans="1:9" x14ac:dyDescent="0.3">
      <c r="A533" t="s">
        <v>53</v>
      </c>
      <c r="B533" t="s">
        <v>54</v>
      </c>
      <c r="C533">
        <v>46</v>
      </c>
      <c r="D533" s="12">
        <v>798</v>
      </c>
      <c r="E533" s="1">
        <v>5</v>
      </c>
      <c r="F533">
        <v>2009</v>
      </c>
      <c r="G533" s="11" t="s">
        <v>9</v>
      </c>
      <c r="H533" s="1">
        <f>bestsellers_with_categories[[#This Row],[Reviews]]*bestsellers_with_categories[[#This Row],[Price]]</f>
        <v>3990</v>
      </c>
      <c r="I533" t="str">
        <f>IF(bestsellers_with_categories[[#This Row],[User Rating]]&gt;40,"recommended","not recommended")</f>
        <v>recommended</v>
      </c>
    </row>
    <row r="534" spans="1:9" x14ac:dyDescent="0.3">
      <c r="A534" t="s">
        <v>76</v>
      </c>
      <c r="B534" t="s">
        <v>54</v>
      </c>
      <c r="C534">
        <v>45</v>
      </c>
      <c r="D534">
        <v>471</v>
      </c>
      <c r="E534" s="1">
        <v>8</v>
      </c>
      <c r="F534">
        <v>2010</v>
      </c>
      <c r="G534" t="s">
        <v>9</v>
      </c>
      <c r="H534" s="1">
        <f>bestsellers_with_categories[[#This Row],[Reviews]]*bestsellers_with_categories[[#This Row],[Price]]</f>
        <v>3768</v>
      </c>
      <c r="I534" t="str">
        <f>IF(bestsellers_with_categories[[#This Row],[User Rating]]&gt;40,"recommended","not recommended")</f>
        <v>recommended</v>
      </c>
    </row>
    <row r="535" spans="1:9" x14ac:dyDescent="0.3">
      <c r="A535" t="s">
        <v>366</v>
      </c>
      <c r="B535" t="s">
        <v>124</v>
      </c>
      <c r="C535">
        <v>46</v>
      </c>
      <c r="D535">
        <v>220</v>
      </c>
      <c r="E535" s="1">
        <v>17</v>
      </c>
      <c r="F535">
        <v>2013</v>
      </c>
      <c r="G535" t="s">
        <v>9</v>
      </c>
      <c r="H535" s="1">
        <f>bestsellers_with_categories[[#This Row],[Reviews]]*bestsellers_with_categories[[#This Row],[Price]]</f>
        <v>3740</v>
      </c>
      <c r="I535" t="str">
        <f>IF(bestsellers_with_categories[[#This Row],[User Rating]]&gt;40,"recommended","not recommended")</f>
        <v>recommended</v>
      </c>
    </row>
    <row r="536" spans="1:9" x14ac:dyDescent="0.3">
      <c r="A536" t="s">
        <v>332</v>
      </c>
      <c r="B536" t="s">
        <v>333</v>
      </c>
      <c r="C536">
        <v>48</v>
      </c>
      <c r="D536">
        <v>548</v>
      </c>
      <c r="E536" s="1">
        <v>2</v>
      </c>
      <c r="F536">
        <v>2010</v>
      </c>
      <c r="G536" t="s">
        <v>12</v>
      </c>
      <c r="H536" s="1">
        <f>bestsellers_with_categories[[#This Row],[Reviews]]*bestsellers_with_categories[[#This Row],[Price]]</f>
        <v>1096</v>
      </c>
      <c r="I536" t="str">
        <f>IF(bestsellers_with_categories[[#This Row],[User Rating]]&gt;40,"recommended","not recommended")</f>
        <v>recommended</v>
      </c>
    </row>
    <row r="537" spans="1:9" x14ac:dyDescent="0.3">
      <c r="A537" t="s">
        <v>28</v>
      </c>
      <c r="B537" t="s">
        <v>29</v>
      </c>
      <c r="C537">
        <v>46</v>
      </c>
      <c r="D537">
        <v>460</v>
      </c>
      <c r="E537" s="1">
        <v>2</v>
      </c>
      <c r="F537">
        <v>2010</v>
      </c>
      <c r="G537" t="s">
        <v>9</v>
      </c>
      <c r="H537" s="1">
        <f>bestsellers_with_categories[[#This Row],[Reviews]]*bestsellers_with_categories[[#This Row],[Price]]</f>
        <v>920</v>
      </c>
      <c r="I537" t="str">
        <f>IF(bestsellers_with_categories[[#This Row],[User Rating]]&gt;40,"recommended","not recommended")</f>
        <v>recommended</v>
      </c>
    </row>
    <row r="538" spans="1:9" x14ac:dyDescent="0.3">
      <c r="A538" t="s">
        <v>139</v>
      </c>
      <c r="B538" t="s">
        <v>140</v>
      </c>
      <c r="C538">
        <v>45</v>
      </c>
      <c r="D538" s="12">
        <v>720</v>
      </c>
      <c r="E538" s="1">
        <v>1</v>
      </c>
      <c r="F538">
        <v>2009</v>
      </c>
      <c r="G538" s="11" t="s">
        <v>9</v>
      </c>
      <c r="H538" s="1">
        <f>bestsellers_with_categories[[#This Row],[Reviews]]*bestsellers_with_categories[[#This Row],[Price]]</f>
        <v>720</v>
      </c>
      <c r="I538" t="str">
        <f>IF(bestsellers_with_categories[[#This Row],[User Rating]]&gt;40,"recommended","not recommended")</f>
        <v>recommended</v>
      </c>
    </row>
    <row r="539" spans="1:9" x14ac:dyDescent="0.3">
      <c r="A539" t="s">
        <v>123</v>
      </c>
      <c r="B539" t="s">
        <v>124</v>
      </c>
      <c r="C539">
        <v>46</v>
      </c>
      <c r="D539" s="12">
        <v>37</v>
      </c>
      <c r="E539" s="1">
        <v>6</v>
      </c>
      <c r="F539">
        <v>2009</v>
      </c>
      <c r="G539" s="11" t="s">
        <v>9</v>
      </c>
      <c r="H539" s="1">
        <f>bestsellers_with_categories[[#This Row],[Reviews]]*bestsellers_with_categories[[#This Row],[Price]]</f>
        <v>222</v>
      </c>
      <c r="I539" t="str">
        <f>IF(bestsellers_with_categories[[#This Row],[User Rating]]&gt;40,"recommended","not recommended")</f>
        <v>recommended</v>
      </c>
    </row>
    <row r="540" spans="1:9" x14ac:dyDescent="0.3">
      <c r="A540" t="s">
        <v>559</v>
      </c>
      <c r="B540" t="s">
        <v>184</v>
      </c>
      <c r="C540">
        <v>48</v>
      </c>
      <c r="D540">
        <v>26234</v>
      </c>
      <c r="E540" s="1">
        <v>0</v>
      </c>
      <c r="F540">
        <v>2013</v>
      </c>
      <c r="G540" t="s">
        <v>12</v>
      </c>
      <c r="H540" s="1">
        <f>bestsellers_with_categories[[#This Row],[Reviews]]*bestsellers_with_categories[[#This Row],[Price]]</f>
        <v>0</v>
      </c>
      <c r="I540" t="str">
        <f>IF(bestsellers_with_categories[[#This Row],[User Rating]]&gt;40,"recommended","not recommended")</f>
        <v>recommended</v>
      </c>
    </row>
    <row r="541" spans="1:9" x14ac:dyDescent="0.3">
      <c r="A541" t="s">
        <v>559</v>
      </c>
      <c r="B541" t="s">
        <v>184</v>
      </c>
      <c r="C541">
        <v>48</v>
      </c>
      <c r="D541">
        <v>26234</v>
      </c>
      <c r="E541" s="1">
        <v>0</v>
      </c>
      <c r="F541">
        <v>2014</v>
      </c>
      <c r="G541" t="s">
        <v>12</v>
      </c>
      <c r="H541" s="1">
        <f>bestsellers_with_categories[[#This Row],[Reviews]]*bestsellers_with_categories[[#This Row],[Price]]</f>
        <v>0</v>
      </c>
      <c r="I541" t="str">
        <f>IF(bestsellers_with_categories[[#This Row],[User Rating]]&gt;40,"recommended","not recommended")</f>
        <v>recommended</v>
      </c>
    </row>
    <row r="542" spans="1:9" x14ac:dyDescent="0.3">
      <c r="A542" t="s">
        <v>559</v>
      </c>
      <c r="B542" t="s">
        <v>184</v>
      </c>
      <c r="C542">
        <v>48</v>
      </c>
      <c r="D542">
        <v>26234</v>
      </c>
      <c r="E542" s="1">
        <v>0</v>
      </c>
      <c r="F542">
        <v>2015</v>
      </c>
      <c r="G542" t="s">
        <v>12</v>
      </c>
      <c r="H542" s="1">
        <f>bestsellers_with_categories[[#This Row],[Reviews]]*bestsellers_with_categories[[#This Row],[Price]]</f>
        <v>0</v>
      </c>
      <c r="I542" t="str">
        <f>IF(bestsellers_with_categories[[#This Row],[User Rating]]&gt;40,"recommended","not recommended")</f>
        <v>recommended</v>
      </c>
    </row>
    <row r="543" spans="1:9" x14ac:dyDescent="0.3">
      <c r="A543" t="s">
        <v>559</v>
      </c>
      <c r="B543" t="s">
        <v>184</v>
      </c>
      <c r="C543">
        <v>48</v>
      </c>
      <c r="D543">
        <v>26234</v>
      </c>
      <c r="E543" s="1">
        <v>0</v>
      </c>
      <c r="F543">
        <v>2016</v>
      </c>
      <c r="G543" t="s">
        <v>12</v>
      </c>
      <c r="H543" s="1">
        <f>bestsellers_with_categories[[#This Row],[Reviews]]*bestsellers_with_categories[[#This Row],[Price]]</f>
        <v>0</v>
      </c>
      <c r="I543" t="str">
        <f>IF(bestsellers_with_categories[[#This Row],[User Rating]]&gt;40,"recommended","not recommended")</f>
        <v>recommended</v>
      </c>
    </row>
    <row r="544" spans="1:9" x14ac:dyDescent="0.3">
      <c r="A544" t="s">
        <v>116</v>
      </c>
      <c r="B544" t="s">
        <v>80</v>
      </c>
      <c r="C544">
        <v>48</v>
      </c>
      <c r="D544">
        <v>6812</v>
      </c>
      <c r="E544" s="1">
        <v>0</v>
      </c>
      <c r="F544">
        <v>2013</v>
      </c>
      <c r="G544" t="s">
        <v>12</v>
      </c>
      <c r="H544" s="1">
        <f>bestsellers_with_categories[[#This Row],[Reviews]]*bestsellers_with_categories[[#This Row],[Price]]</f>
        <v>0</v>
      </c>
      <c r="I544" t="str">
        <f>IF(bestsellers_with_categories[[#This Row],[User Rating]]&gt;40,"recommended","not recommended")</f>
        <v>recommended</v>
      </c>
    </row>
    <row r="545" spans="1:9" x14ac:dyDescent="0.3">
      <c r="A545" t="s">
        <v>434</v>
      </c>
      <c r="B545" t="s">
        <v>80</v>
      </c>
      <c r="C545">
        <v>48</v>
      </c>
      <c r="D545">
        <v>5836</v>
      </c>
      <c r="E545" s="1">
        <v>0</v>
      </c>
      <c r="F545">
        <v>2017</v>
      </c>
      <c r="G545" t="s">
        <v>12</v>
      </c>
      <c r="H545" s="1">
        <f>bestsellers_with_categories[[#This Row],[Reviews]]*bestsellers_with_categories[[#This Row],[Price]]</f>
        <v>0</v>
      </c>
      <c r="I545" t="str">
        <f>IF(bestsellers_with_categories[[#This Row],[User Rating]]&gt;40,"recommended","not recommended")</f>
        <v>recommended</v>
      </c>
    </row>
    <row r="546" spans="1:9" x14ac:dyDescent="0.3">
      <c r="A546" t="s">
        <v>79</v>
      </c>
      <c r="B546" t="s">
        <v>80</v>
      </c>
      <c r="C546">
        <v>48</v>
      </c>
      <c r="D546">
        <v>4505</v>
      </c>
      <c r="E546" s="1">
        <v>0</v>
      </c>
      <c r="F546">
        <v>2011</v>
      </c>
      <c r="G546" t="s">
        <v>12</v>
      </c>
      <c r="H546" s="1">
        <f>bestsellers_with_categories[[#This Row],[Reviews]]*bestsellers_with_categories[[#This Row],[Price]]</f>
        <v>0</v>
      </c>
      <c r="I546" t="str">
        <f>IF(bestsellers_with_categories[[#This Row],[User Rating]]&gt;40,"recommended","not recommended")</f>
        <v>recommended</v>
      </c>
    </row>
    <row r="547" spans="1:9" x14ac:dyDescent="0.3">
      <c r="A547" t="s">
        <v>167</v>
      </c>
      <c r="B547" t="s">
        <v>168</v>
      </c>
      <c r="C547">
        <v>47</v>
      </c>
      <c r="D547">
        <v>3642</v>
      </c>
      <c r="E547" s="1">
        <v>0</v>
      </c>
      <c r="F547">
        <v>2014</v>
      </c>
      <c r="G547" t="s">
        <v>12</v>
      </c>
      <c r="H547" s="1">
        <f>bestsellers_with_categories[[#This Row],[Reviews]]*bestsellers_with_categories[[#This Row],[Price]]</f>
        <v>0</v>
      </c>
      <c r="I547" t="str">
        <f>IF(bestsellers_with_categories[[#This Row],[User Rating]]&gt;40,"recommended","not recommended")</f>
        <v>recommended</v>
      </c>
    </row>
    <row r="548" spans="1:9" x14ac:dyDescent="0.3">
      <c r="A548" t="s">
        <v>418</v>
      </c>
      <c r="B548" t="s">
        <v>419</v>
      </c>
      <c r="C548">
        <v>48</v>
      </c>
      <c r="D548">
        <v>2774</v>
      </c>
      <c r="E548" s="1">
        <v>0</v>
      </c>
      <c r="F548">
        <v>2016</v>
      </c>
      <c r="G548" t="s">
        <v>9</v>
      </c>
      <c r="H548" s="1">
        <f>bestsellers_with_categories[[#This Row],[Reviews]]*bestsellers_with_categories[[#This Row],[Price]]</f>
        <v>0</v>
      </c>
      <c r="I548" t="str">
        <f>IF(bestsellers_with_categories[[#This Row],[User Rating]]&gt;40,"recommended","not recommended")</f>
        <v>recommended</v>
      </c>
    </row>
    <row r="549" spans="1:9" x14ac:dyDescent="0.3">
      <c r="A549" t="s">
        <v>517</v>
      </c>
      <c r="B549" t="s">
        <v>75</v>
      </c>
      <c r="C549">
        <v>46</v>
      </c>
      <c r="D549">
        <v>2122</v>
      </c>
      <c r="E549" s="1">
        <v>0</v>
      </c>
      <c r="F549">
        <v>2010</v>
      </c>
      <c r="G549" t="s">
        <v>12</v>
      </c>
      <c r="H549" s="1">
        <f>bestsellers_with_categories[[#This Row],[Reviews]]*bestsellers_with_categories[[#This Row],[Price]]</f>
        <v>0</v>
      </c>
      <c r="I549" t="str">
        <f>IF(bestsellers_with_categories[[#This Row],[User Rating]]&gt;40,"recommended","not recommended")</f>
        <v>recommended</v>
      </c>
    </row>
    <row r="550" spans="1:9" x14ac:dyDescent="0.3">
      <c r="A550" t="s">
        <v>284</v>
      </c>
      <c r="B550" t="s">
        <v>285</v>
      </c>
      <c r="C550">
        <v>49</v>
      </c>
      <c r="D550">
        <v>1884</v>
      </c>
      <c r="E550" s="1">
        <v>0</v>
      </c>
      <c r="F550">
        <v>2014</v>
      </c>
      <c r="G550" t="s">
        <v>12</v>
      </c>
      <c r="H550" s="1">
        <f>bestsellers_with_categories[[#This Row],[Reviews]]*bestsellers_with_categories[[#This Row],[Price]]</f>
        <v>0</v>
      </c>
      <c r="I550" t="str">
        <f>IF(bestsellers_with_categories[[#This Row],[User Rating]]&gt;40,"recommended","not recommended")</f>
        <v>recommended</v>
      </c>
    </row>
    <row r="551" spans="1:9" x14ac:dyDescent="0.3">
      <c r="A551" t="s">
        <v>254</v>
      </c>
      <c r="B551" t="s">
        <v>168</v>
      </c>
      <c r="C551">
        <v>46</v>
      </c>
      <c r="D551">
        <v>978</v>
      </c>
      <c r="E551" s="1">
        <v>0</v>
      </c>
      <c r="F551">
        <v>2014</v>
      </c>
      <c r="G551" t="s">
        <v>12</v>
      </c>
      <c r="H551" s="1">
        <f>bestsellers_with_categories[[#This Row],[Reviews]]*bestsellers_with_categories[[#This Row],[Price]]</f>
        <v>0</v>
      </c>
      <c r="I551" t="str">
        <f>IF(bestsellers_with_categories[[#This Row],[User Rating]]&gt;40,"recommended","not recommended")</f>
        <v>recommended</v>
      </c>
    </row>
  </sheetData>
  <conditionalFormatting sqref="C1:C1048576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104857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{153EFEBB-091A-46A1-B5F1-1C58BD7E4E50}</x14:id>
        </ext>
      </extLst>
    </cfRule>
  </conditionalFormatting>
  <conditionalFormatting sqref="G1:G1048576">
    <cfRule type="containsText" dxfId="19" priority="3" operator="containsText" text="Non Fiction">
      <formula>NOT(ISERROR(SEARCH("Non Fiction",G1)))</formula>
    </cfRule>
    <cfRule type="containsText" dxfId="18" priority="5" operator="containsText" text="Fiction">
      <formula>NOT(ISERROR(SEARCH("Fiction",G1)))</formula>
    </cfRule>
    <cfRule type="colorScale" priority="8">
      <colorScale>
        <cfvo type="min"/>
        <cfvo type="max"/>
        <color rgb="FFFF7128"/>
        <color rgb="FFFFEF9C"/>
      </colorScale>
    </cfRule>
    <cfRule type="iconSet" priority="9">
      <iconSet>
        <cfvo type="percent" val="0"/>
        <cfvo type="percent" val="33"/>
        <cfvo type="percent" val="67"/>
      </iconSet>
    </cfRule>
  </conditionalFormatting>
  <conditionalFormatting sqref="I1:I1048576">
    <cfRule type="containsText" dxfId="17" priority="1" operator="containsText" text="not recommended">
      <formula>NOT(ISERROR(SEARCH("not recommended",I1)))</formula>
    </cfRule>
    <cfRule type="containsText" dxfId="16" priority="2" operator="containsText" text="recommended">
      <formula>NOT(ISERROR(SEARCH("recommended",I1)))</formula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09:G551">
    <cfRule type="colorScale" priority="6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53EFEBB-091A-46A1-B5F1-1C58BD7E4E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D1:D1048576</xm:sqref>
        </x14:conditionalFormatting>
        <x14:conditionalFormatting xmlns:xm="http://schemas.microsoft.com/office/excel/2006/main">
          <x14:cfRule type="containsText" priority="4" operator="containsText" id="{7C2F59A1-1286-4AA3-80DC-2FC8F06CE3FC}">
            <xm:f>NOT(ISERROR(SEARCH($G$215,G232)))</xm:f>
            <xm:f>$G$215</xm:f>
            <x14:dxf>
              <fill>
                <patternFill>
                  <bgColor rgb="FF7030A0"/>
                </patternFill>
              </fill>
            </x14:dxf>
          </x14:cfRule>
          <xm:sqref>G232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97C67-5A73-4A30-84A0-051F82F8F116}">
  <dimension ref="A1:B15"/>
  <sheetViews>
    <sheetView workbookViewId="0">
      <selection activeCell="G28" sqref="G28"/>
    </sheetView>
  </sheetViews>
  <sheetFormatPr baseColWidth="10" defaultRowHeight="14.4" x14ac:dyDescent="0.3"/>
  <sheetData>
    <row r="1" spans="1:2" x14ac:dyDescent="0.3">
      <c r="A1" s="4" t="s">
        <v>4</v>
      </c>
      <c r="B1" s="4"/>
    </row>
    <row r="3" spans="1:2" x14ac:dyDescent="0.3">
      <c r="A3" t="s">
        <v>612</v>
      </c>
      <c r="B3">
        <v>13.1</v>
      </c>
    </row>
    <row r="4" spans="1:2" x14ac:dyDescent="0.3">
      <c r="A4" t="s">
        <v>613</v>
      </c>
      <c r="B4">
        <v>0.46231560414296902</v>
      </c>
    </row>
    <row r="5" spans="1:2" x14ac:dyDescent="0.3">
      <c r="A5" t="s">
        <v>614</v>
      </c>
      <c r="B5">
        <v>11</v>
      </c>
    </row>
    <row r="6" spans="1:2" x14ac:dyDescent="0.3">
      <c r="A6" t="s">
        <v>615</v>
      </c>
      <c r="B6">
        <v>8</v>
      </c>
    </row>
    <row r="7" spans="1:2" x14ac:dyDescent="0.3">
      <c r="A7" t="s">
        <v>616</v>
      </c>
      <c r="B7">
        <v>10.842261978422361</v>
      </c>
    </row>
    <row r="8" spans="1:2" x14ac:dyDescent="0.3">
      <c r="A8" t="s">
        <v>617</v>
      </c>
      <c r="B8">
        <v>117.55464480874316</v>
      </c>
    </row>
    <row r="9" spans="1:2" x14ac:dyDescent="0.3">
      <c r="A9" t="s">
        <v>618</v>
      </c>
      <c r="B9">
        <v>22.433520327850193</v>
      </c>
    </row>
    <row r="10" spans="1:2" x14ac:dyDescent="0.3">
      <c r="A10" t="s">
        <v>619</v>
      </c>
      <c r="B10">
        <v>3.6850565378363371</v>
      </c>
    </row>
    <row r="11" spans="1:2" x14ac:dyDescent="0.3">
      <c r="A11" t="s">
        <v>620</v>
      </c>
      <c r="B11">
        <v>105</v>
      </c>
    </row>
    <row r="12" spans="1:2" x14ac:dyDescent="0.3">
      <c r="A12" t="s">
        <v>621</v>
      </c>
      <c r="B12">
        <v>0</v>
      </c>
    </row>
    <row r="13" spans="1:2" x14ac:dyDescent="0.3">
      <c r="A13" t="s">
        <v>622</v>
      </c>
      <c r="B13">
        <v>105</v>
      </c>
    </row>
    <row r="14" spans="1:2" x14ac:dyDescent="0.3">
      <c r="A14" t="s">
        <v>623</v>
      </c>
      <c r="B14">
        <v>7205</v>
      </c>
    </row>
    <row r="15" spans="1:2" ht="15" thickBot="1" x14ac:dyDescent="0.35">
      <c r="A15" s="3" t="s">
        <v>624</v>
      </c>
      <c r="B15" s="3">
        <v>550</v>
      </c>
    </row>
  </sheetData>
  <conditionalFormatting sqref="B3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5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6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90C0F-9EEA-433B-82DC-7DE212539553}">
  <dimension ref="A3:H5"/>
  <sheetViews>
    <sheetView workbookViewId="0">
      <selection activeCell="F22" sqref="F22"/>
    </sheetView>
  </sheetViews>
  <sheetFormatPr baseColWidth="10" defaultRowHeight="14.4" x14ac:dyDescent="0.3"/>
  <cols>
    <col min="1" max="1" width="10.33203125" bestFit="1" customWidth="1"/>
    <col min="2" max="2" width="15" bestFit="1" customWidth="1"/>
  </cols>
  <sheetData>
    <row r="3" spans="1:8" x14ac:dyDescent="0.3">
      <c r="A3" s="2" t="s">
        <v>6</v>
      </c>
      <c r="B3" t="s">
        <v>611</v>
      </c>
      <c r="G3" s="2" t="s">
        <v>6</v>
      </c>
      <c r="H3" t="s">
        <v>610</v>
      </c>
    </row>
    <row r="4" spans="1:8" x14ac:dyDescent="0.3">
      <c r="A4" t="s">
        <v>12</v>
      </c>
      <c r="B4" s="6">
        <v>0.43636363636363634</v>
      </c>
      <c r="G4" t="s">
        <v>12</v>
      </c>
      <c r="H4">
        <v>41452867</v>
      </c>
    </row>
    <row r="5" spans="1:8" x14ac:dyDescent="0.3">
      <c r="A5" t="s">
        <v>9</v>
      </c>
      <c r="B5" s="6">
        <v>0.5636363636363636</v>
      </c>
      <c r="G5" t="s">
        <v>9</v>
      </c>
      <c r="H5">
        <v>37046531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2D139-8DAE-4680-A57B-2DD6370E7967}">
  <dimension ref="A3:C15"/>
  <sheetViews>
    <sheetView workbookViewId="0">
      <selection activeCell="B28" sqref="B28"/>
    </sheetView>
  </sheetViews>
  <sheetFormatPr baseColWidth="10" defaultRowHeight="14.4" x14ac:dyDescent="0.3"/>
  <cols>
    <col min="1" max="1" width="16.5546875" bestFit="1" customWidth="1"/>
    <col min="2" max="2" width="24.77734375" style="1" bestFit="1" customWidth="1"/>
    <col min="3" max="3" width="15.88671875" bestFit="1" customWidth="1"/>
    <col min="4" max="4" width="15.21875" bestFit="1" customWidth="1"/>
    <col min="5" max="5" width="8.77734375" bestFit="1" customWidth="1"/>
    <col min="6" max="6" width="25" bestFit="1" customWidth="1"/>
    <col min="7" max="7" width="24.77734375" bestFit="1" customWidth="1"/>
    <col min="8" max="8" width="10.88671875" bestFit="1" customWidth="1"/>
    <col min="9" max="9" width="15" bestFit="1" customWidth="1"/>
    <col min="10" max="10" width="12.21875" bestFit="1" customWidth="1"/>
    <col min="11" max="11" width="9.77734375" bestFit="1" customWidth="1"/>
    <col min="12" max="12" width="28.77734375" bestFit="1" customWidth="1"/>
    <col min="13" max="13" width="31.109375" bestFit="1" customWidth="1"/>
    <col min="14" max="14" width="11.88671875" bestFit="1" customWidth="1"/>
    <col min="15" max="15" width="11" bestFit="1" customWidth="1"/>
    <col min="16" max="16" width="11.21875" bestFit="1" customWidth="1"/>
    <col min="17" max="17" width="9.77734375" bestFit="1" customWidth="1"/>
    <col min="18" max="18" width="11" bestFit="1" customWidth="1"/>
    <col min="19" max="19" width="12.88671875" bestFit="1" customWidth="1"/>
    <col min="20" max="20" width="12.77734375" bestFit="1" customWidth="1"/>
    <col min="21" max="21" width="16.6640625" bestFit="1" customWidth="1"/>
    <col min="22" max="22" width="16.5546875" bestFit="1" customWidth="1"/>
    <col min="23" max="23" width="13.44140625" bestFit="1" customWidth="1"/>
    <col min="24" max="24" width="12.77734375" bestFit="1" customWidth="1"/>
    <col min="25" max="25" width="17.5546875" bestFit="1" customWidth="1"/>
    <col min="26" max="26" width="10.21875" bestFit="1" customWidth="1"/>
    <col min="27" max="27" width="21.77734375" bestFit="1" customWidth="1"/>
    <col min="28" max="28" width="11.88671875" bestFit="1" customWidth="1"/>
    <col min="29" max="29" width="10.109375" bestFit="1" customWidth="1"/>
    <col min="30" max="30" width="11.6640625" bestFit="1" customWidth="1"/>
    <col min="31" max="31" width="15.88671875" bestFit="1" customWidth="1"/>
    <col min="32" max="32" width="14.109375" bestFit="1" customWidth="1"/>
    <col min="33" max="33" width="15.33203125" bestFit="1" customWidth="1"/>
    <col min="34" max="34" width="11.77734375" bestFit="1" customWidth="1"/>
    <col min="35" max="35" width="13.5546875" bestFit="1" customWidth="1"/>
    <col min="36" max="36" width="16.21875" bestFit="1" customWidth="1"/>
    <col min="37" max="37" width="13.33203125" bestFit="1" customWidth="1"/>
    <col min="38" max="38" width="9.77734375" bestFit="1" customWidth="1"/>
    <col min="39" max="39" width="14.109375" bestFit="1" customWidth="1"/>
    <col min="40" max="40" width="13.44140625" bestFit="1" customWidth="1"/>
    <col min="41" max="41" width="19.33203125" bestFit="1" customWidth="1"/>
    <col min="42" max="42" width="13.21875" bestFit="1" customWidth="1"/>
    <col min="43" max="43" width="10.77734375" bestFit="1" customWidth="1"/>
    <col min="44" max="44" width="10.21875" bestFit="1" customWidth="1"/>
    <col min="45" max="45" width="11.109375" bestFit="1" customWidth="1"/>
    <col min="46" max="46" width="9.109375" bestFit="1" customWidth="1"/>
    <col min="47" max="47" width="12.88671875" bestFit="1" customWidth="1"/>
    <col min="48" max="48" width="18.21875" bestFit="1" customWidth="1"/>
    <col min="49" max="49" width="17" bestFit="1" customWidth="1"/>
    <col min="50" max="50" width="22.44140625" bestFit="1" customWidth="1"/>
    <col min="51" max="51" width="10.5546875" bestFit="1" customWidth="1"/>
    <col min="52" max="52" width="12" bestFit="1" customWidth="1"/>
    <col min="53" max="53" width="12.44140625" bestFit="1" customWidth="1"/>
    <col min="54" max="54" width="10.21875" bestFit="1" customWidth="1"/>
    <col min="55" max="55" width="12.5546875" bestFit="1" customWidth="1"/>
    <col min="56" max="56" width="17.77734375" bestFit="1" customWidth="1"/>
    <col min="57" max="57" width="15.77734375" bestFit="1" customWidth="1"/>
    <col min="58" max="58" width="14.5546875" bestFit="1" customWidth="1"/>
    <col min="59" max="59" width="9.6640625" bestFit="1" customWidth="1"/>
    <col min="60" max="60" width="12.21875" bestFit="1" customWidth="1"/>
    <col min="61" max="61" width="12.88671875" bestFit="1" customWidth="1"/>
    <col min="62" max="62" width="11.33203125" bestFit="1" customWidth="1"/>
    <col min="63" max="63" width="16.44140625" bestFit="1" customWidth="1"/>
    <col min="64" max="64" width="18.77734375" bestFit="1" customWidth="1"/>
    <col min="65" max="65" width="10.109375" bestFit="1" customWidth="1"/>
    <col min="66" max="66" width="14.6640625" bestFit="1" customWidth="1"/>
    <col min="67" max="67" width="14.21875" bestFit="1" customWidth="1"/>
    <col min="68" max="68" width="27.109375" bestFit="1" customWidth="1"/>
    <col min="69" max="69" width="11.21875" bestFit="1" customWidth="1"/>
    <col min="70" max="70" width="12.88671875" bestFit="1" customWidth="1"/>
    <col min="71" max="71" width="3.33203125" bestFit="1" customWidth="1"/>
    <col min="72" max="72" width="14.5546875" bestFit="1" customWidth="1"/>
    <col min="73" max="73" width="11" bestFit="1" customWidth="1"/>
    <col min="74" max="74" width="11.5546875" bestFit="1" customWidth="1"/>
    <col min="75" max="75" width="8.5546875" bestFit="1" customWidth="1"/>
    <col min="76" max="76" width="21.5546875" bestFit="1" customWidth="1"/>
    <col min="77" max="77" width="12.5546875" bestFit="1" customWidth="1"/>
    <col min="78" max="78" width="8.88671875" bestFit="1" customWidth="1"/>
    <col min="79" max="79" width="14.109375" bestFit="1" customWidth="1"/>
    <col min="80" max="80" width="11.88671875" bestFit="1" customWidth="1"/>
    <col min="81" max="81" width="18.109375" bestFit="1" customWidth="1"/>
    <col min="82" max="82" width="9.77734375" bestFit="1" customWidth="1"/>
    <col min="83" max="83" width="14.21875" bestFit="1" customWidth="1"/>
    <col min="84" max="84" width="19.21875" bestFit="1" customWidth="1"/>
    <col min="85" max="85" width="8.6640625" bestFit="1" customWidth="1"/>
    <col min="86" max="86" width="10" bestFit="1" customWidth="1"/>
    <col min="87" max="87" width="10.77734375" bestFit="1" customWidth="1"/>
    <col min="88" max="88" width="10.33203125" bestFit="1" customWidth="1"/>
    <col min="89" max="89" width="15.6640625" bestFit="1" customWidth="1"/>
    <col min="90" max="90" width="11.5546875" bestFit="1" customWidth="1"/>
    <col min="91" max="91" width="15" bestFit="1" customWidth="1"/>
    <col min="92" max="92" width="6.33203125" bestFit="1" customWidth="1"/>
    <col min="93" max="93" width="10.33203125" bestFit="1" customWidth="1"/>
    <col min="94" max="94" width="13.44140625" bestFit="1" customWidth="1"/>
    <col min="95" max="95" width="12.5546875" bestFit="1" customWidth="1"/>
    <col min="96" max="96" width="11.88671875" bestFit="1" customWidth="1"/>
    <col min="97" max="97" width="12.77734375" bestFit="1" customWidth="1"/>
    <col min="98" max="98" width="17.44140625" bestFit="1" customWidth="1"/>
    <col min="99" max="99" width="17" bestFit="1" customWidth="1"/>
    <col min="100" max="100" width="14.33203125" bestFit="1" customWidth="1"/>
    <col min="101" max="101" width="12.44140625" bestFit="1" customWidth="1"/>
    <col min="102" max="102" width="11.109375" bestFit="1" customWidth="1"/>
    <col min="103" max="103" width="10.33203125" bestFit="1" customWidth="1"/>
    <col min="104" max="104" width="12.5546875" bestFit="1" customWidth="1"/>
    <col min="105" max="105" width="14.6640625" bestFit="1" customWidth="1"/>
    <col min="106" max="106" width="10" bestFit="1" customWidth="1"/>
    <col min="107" max="107" width="12.6640625" bestFit="1" customWidth="1"/>
    <col min="108" max="108" width="20.33203125" bestFit="1" customWidth="1"/>
    <col min="109" max="109" width="13.88671875" bestFit="1" customWidth="1"/>
    <col min="110" max="110" width="12.44140625" bestFit="1" customWidth="1"/>
    <col min="111" max="111" width="15.6640625" bestFit="1" customWidth="1"/>
    <col min="112" max="112" width="9.77734375" bestFit="1" customWidth="1"/>
    <col min="113" max="113" width="10.109375" bestFit="1" customWidth="1"/>
    <col min="114" max="114" width="11.44140625" bestFit="1" customWidth="1"/>
    <col min="115" max="115" width="11" bestFit="1" customWidth="1"/>
    <col min="116" max="116" width="12.44140625" bestFit="1" customWidth="1"/>
    <col min="117" max="117" width="13.44140625" bestFit="1" customWidth="1"/>
    <col min="118" max="118" width="14.6640625" bestFit="1" customWidth="1"/>
    <col min="119" max="119" width="8.88671875" bestFit="1" customWidth="1"/>
    <col min="120" max="120" width="13.109375" bestFit="1" customWidth="1"/>
    <col min="121" max="121" width="10.21875" bestFit="1" customWidth="1"/>
    <col min="122" max="122" width="10.44140625" bestFit="1" customWidth="1"/>
    <col min="123" max="123" width="13" bestFit="1" customWidth="1"/>
    <col min="124" max="124" width="7.88671875" bestFit="1" customWidth="1"/>
    <col min="125" max="125" width="9.6640625" bestFit="1" customWidth="1"/>
    <col min="126" max="126" width="7.6640625" bestFit="1" customWidth="1"/>
    <col min="127" max="127" width="13" bestFit="1" customWidth="1"/>
    <col min="128" max="128" width="15.6640625" bestFit="1" customWidth="1"/>
    <col min="129" max="129" width="15" bestFit="1" customWidth="1"/>
    <col min="130" max="130" width="10.44140625" bestFit="1" customWidth="1"/>
    <col min="131" max="131" width="12.33203125" bestFit="1" customWidth="1"/>
    <col min="132" max="132" width="14.44140625" bestFit="1" customWidth="1"/>
    <col min="133" max="133" width="12.77734375" bestFit="1" customWidth="1"/>
    <col min="134" max="134" width="10.77734375" bestFit="1" customWidth="1"/>
    <col min="135" max="135" width="13.5546875" bestFit="1" customWidth="1"/>
    <col min="136" max="136" width="16.77734375" bestFit="1" customWidth="1"/>
    <col min="137" max="137" width="9.33203125" bestFit="1" customWidth="1"/>
    <col min="138" max="138" width="12.77734375" bestFit="1" customWidth="1"/>
    <col min="139" max="139" width="15.109375" bestFit="1" customWidth="1"/>
    <col min="140" max="140" width="12.88671875" bestFit="1" customWidth="1"/>
    <col min="141" max="141" width="9.88671875" bestFit="1" customWidth="1"/>
    <col min="142" max="142" width="10.77734375" bestFit="1" customWidth="1"/>
    <col min="143" max="143" width="14.109375" bestFit="1" customWidth="1"/>
    <col min="144" max="144" width="13.21875" bestFit="1" customWidth="1"/>
    <col min="145" max="145" width="14.88671875" bestFit="1" customWidth="1"/>
    <col min="146" max="146" width="15.77734375" bestFit="1" customWidth="1"/>
    <col min="147" max="147" width="14.6640625" bestFit="1" customWidth="1"/>
    <col min="148" max="148" width="18.21875" bestFit="1" customWidth="1"/>
    <col min="149" max="150" width="13.109375" bestFit="1" customWidth="1"/>
    <col min="151" max="151" width="16.33203125" bestFit="1" customWidth="1"/>
    <col min="152" max="153" width="15.88671875" bestFit="1" customWidth="1"/>
    <col min="154" max="154" width="19.21875" bestFit="1" customWidth="1"/>
    <col min="155" max="155" width="11.88671875" bestFit="1" customWidth="1"/>
    <col min="156" max="156" width="14.109375" bestFit="1" customWidth="1"/>
    <col min="157" max="157" width="16.5546875" bestFit="1" customWidth="1"/>
    <col min="158" max="158" width="12.77734375" bestFit="1" customWidth="1"/>
    <col min="159" max="159" width="10.77734375" bestFit="1" customWidth="1"/>
    <col min="160" max="160" width="12.44140625" bestFit="1" customWidth="1"/>
    <col min="161" max="161" width="10.88671875" bestFit="1" customWidth="1"/>
    <col min="162" max="162" width="12.6640625" bestFit="1" customWidth="1"/>
    <col min="163" max="163" width="11.5546875" bestFit="1" customWidth="1"/>
    <col min="164" max="164" width="15.88671875" bestFit="1" customWidth="1"/>
    <col min="165" max="165" width="14.5546875" bestFit="1" customWidth="1"/>
    <col min="166" max="166" width="19.88671875" bestFit="1" customWidth="1"/>
    <col min="167" max="167" width="12.6640625" bestFit="1" customWidth="1"/>
    <col min="168" max="168" width="13.33203125" bestFit="1" customWidth="1"/>
    <col min="169" max="169" width="12.77734375" bestFit="1" customWidth="1"/>
    <col min="170" max="170" width="14.6640625" bestFit="1" customWidth="1"/>
    <col min="171" max="171" width="12.44140625" bestFit="1" customWidth="1"/>
    <col min="172" max="172" width="11.88671875" bestFit="1" customWidth="1"/>
    <col min="173" max="173" width="13.44140625" bestFit="1" customWidth="1"/>
    <col min="174" max="174" width="14.88671875" bestFit="1" customWidth="1"/>
    <col min="175" max="175" width="14" bestFit="1" customWidth="1"/>
    <col min="176" max="176" width="22.21875" bestFit="1" customWidth="1"/>
    <col min="177" max="177" width="17.77734375" bestFit="1" customWidth="1"/>
    <col min="178" max="178" width="16.5546875" bestFit="1" customWidth="1"/>
    <col min="179" max="179" width="14.21875" bestFit="1" customWidth="1"/>
    <col min="180" max="180" width="13.21875" bestFit="1" customWidth="1"/>
    <col min="181" max="181" width="12.44140625" bestFit="1" customWidth="1"/>
    <col min="182" max="182" width="13.109375" bestFit="1" customWidth="1"/>
    <col min="183" max="183" width="12.21875" bestFit="1" customWidth="1"/>
    <col min="184" max="184" width="12.109375" bestFit="1" customWidth="1"/>
    <col min="185" max="185" width="10.21875" bestFit="1" customWidth="1"/>
    <col min="186" max="186" width="14.33203125" bestFit="1" customWidth="1"/>
    <col min="187" max="187" width="13.21875" bestFit="1" customWidth="1"/>
    <col min="188" max="188" width="11.77734375" bestFit="1" customWidth="1"/>
    <col min="189" max="189" width="17.109375" bestFit="1" customWidth="1"/>
    <col min="190" max="190" width="10.77734375" bestFit="1" customWidth="1"/>
    <col min="191" max="191" width="11.44140625" bestFit="1" customWidth="1"/>
    <col min="192" max="192" width="15.33203125" bestFit="1" customWidth="1"/>
    <col min="193" max="193" width="14.44140625" bestFit="1" customWidth="1"/>
    <col min="194" max="194" width="12.77734375" bestFit="1" customWidth="1"/>
    <col min="195" max="195" width="12.33203125" bestFit="1" customWidth="1"/>
    <col min="196" max="196" width="13.77734375" bestFit="1" customWidth="1"/>
    <col min="197" max="197" width="14.21875" bestFit="1" customWidth="1"/>
    <col min="198" max="198" width="9.33203125" bestFit="1" customWidth="1"/>
    <col min="199" max="199" width="11.44140625" bestFit="1" customWidth="1"/>
    <col min="200" max="200" width="7.77734375" bestFit="1" customWidth="1"/>
    <col min="201" max="201" width="9.5546875" bestFit="1" customWidth="1"/>
    <col min="202" max="202" width="12.77734375" bestFit="1" customWidth="1"/>
    <col min="203" max="203" width="13.88671875" bestFit="1" customWidth="1"/>
    <col min="204" max="204" width="12.6640625" bestFit="1" customWidth="1"/>
    <col min="205" max="205" width="11.77734375" bestFit="1" customWidth="1"/>
    <col min="206" max="206" width="12.33203125" bestFit="1" customWidth="1"/>
    <col min="207" max="207" width="9.109375" bestFit="1" customWidth="1"/>
    <col min="208" max="208" width="13.88671875" bestFit="1" customWidth="1"/>
    <col min="209" max="209" width="12.21875" bestFit="1" customWidth="1"/>
    <col min="210" max="210" width="14.5546875" bestFit="1" customWidth="1"/>
    <col min="211" max="211" width="10.21875" bestFit="1" customWidth="1"/>
    <col min="212" max="212" width="10.33203125" bestFit="1" customWidth="1"/>
    <col min="213" max="213" width="11.5546875" bestFit="1" customWidth="1"/>
    <col min="214" max="214" width="12" bestFit="1" customWidth="1"/>
    <col min="215" max="215" width="9.33203125" bestFit="1" customWidth="1"/>
    <col min="216" max="216" width="11.33203125" bestFit="1" customWidth="1"/>
    <col min="217" max="217" width="18.33203125" bestFit="1" customWidth="1"/>
    <col min="218" max="218" width="14.6640625" bestFit="1" customWidth="1"/>
    <col min="219" max="219" width="8.5546875" bestFit="1" customWidth="1"/>
    <col min="220" max="220" width="15.77734375" bestFit="1" customWidth="1"/>
    <col min="221" max="221" width="12.109375" bestFit="1" customWidth="1"/>
    <col min="222" max="222" width="15.77734375" bestFit="1" customWidth="1"/>
    <col min="223" max="223" width="15.33203125" bestFit="1" customWidth="1"/>
    <col min="224" max="224" width="12" bestFit="1" customWidth="1"/>
    <col min="225" max="225" width="14.109375" bestFit="1" customWidth="1"/>
    <col min="226" max="226" width="11.88671875" bestFit="1" customWidth="1"/>
    <col min="227" max="227" width="10.109375" bestFit="1" customWidth="1"/>
    <col min="228" max="228" width="14" bestFit="1" customWidth="1"/>
    <col min="229" max="229" width="14.88671875" bestFit="1" customWidth="1"/>
    <col min="230" max="230" width="13.109375" bestFit="1" customWidth="1"/>
    <col min="231" max="231" width="16.44140625" bestFit="1" customWidth="1"/>
    <col min="232" max="232" width="16.21875" bestFit="1" customWidth="1"/>
    <col min="233" max="233" width="27.88671875" bestFit="1" customWidth="1"/>
    <col min="234" max="234" width="18.88671875" bestFit="1" customWidth="1"/>
    <col min="235" max="235" width="16.109375" bestFit="1" customWidth="1"/>
    <col min="236" max="236" width="14" bestFit="1" customWidth="1"/>
    <col min="237" max="237" width="12" bestFit="1" customWidth="1"/>
    <col min="238" max="238" width="13.6640625" bestFit="1" customWidth="1"/>
    <col min="239" max="239" width="7.88671875" bestFit="1" customWidth="1"/>
    <col min="240" max="240" width="10.88671875" bestFit="1" customWidth="1"/>
    <col min="241" max="241" width="10.21875" bestFit="1" customWidth="1"/>
    <col min="242" max="242" width="13.33203125" bestFit="1" customWidth="1"/>
    <col min="243" max="243" width="12.88671875" bestFit="1" customWidth="1"/>
    <col min="244" max="244" width="16.21875" bestFit="1" customWidth="1"/>
    <col min="245" max="245" width="14.21875" bestFit="1" customWidth="1"/>
    <col min="246" max="246" width="12.109375" bestFit="1" customWidth="1"/>
    <col min="247" max="247" width="15.109375" bestFit="1" customWidth="1"/>
    <col min="248" max="248" width="16.6640625" bestFit="1" customWidth="1"/>
    <col min="249" max="250" width="11.88671875" bestFit="1" customWidth="1"/>
    <col min="251" max="251" width="21" bestFit="1" customWidth="1"/>
    <col min="252" max="252" width="42.21875" bestFit="1" customWidth="1"/>
    <col min="253" max="253" width="15.33203125" bestFit="1" customWidth="1"/>
    <col min="254" max="254" width="20.6640625" bestFit="1" customWidth="1"/>
    <col min="255" max="255" width="43.21875" bestFit="1" customWidth="1"/>
    <col min="256" max="256" width="18.44140625" bestFit="1" customWidth="1"/>
    <col min="257" max="257" width="66.77734375" bestFit="1" customWidth="1"/>
    <col min="258" max="258" width="14.33203125" bestFit="1" customWidth="1"/>
    <col min="259" max="259" width="8.33203125" bestFit="1" customWidth="1"/>
    <col min="260" max="260" width="42.6640625" bestFit="1" customWidth="1"/>
    <col min="261" max="261" width="16.88671875" bestFit="1" customWidth="1"/>
    <col min="262" max="262" width="24.5546875" bestFit="1" customWidth="1"/>
    <col min="263" max="263" width="34.88671875" bestFit="1" customWidth="1"/>
    <col min="264" max="264" width="31.6640625" bestFit="1" customWidth="1"/>
    <col min="265" max="265" width="77.109375" bestFit="1" customWidth="1"/>
    <col min="266" max="266" width="14.5546875" bestFit="1" customWidth="1"/>
    <col min="267" max="267" width="53.77734375" bestFit="1" customWidth="1"/>
    <col min="268" max="268" width="31.5546875" bestFit="1" customWidth="1"/>
    <col min="269" max="269" width="40.5546875" bestFit="1" customWidth="1"/>
    <col min="270" max="270" width="75.77734375" bestFit="1" customWidth="1"/>
    <col min="271" max="271" width="12.21875" bestFit="1" customWidth="1"/>
    <col min="272" max="272" width="37.44140625" bestFit="1" customWidth="1"/>
    <col min="273" max="273" width="14.77734375" bestFit="1" customWidth="1"/>
    <col min="274" max="274" width="12.88671875" bestFit="1" customWidth="1"/>
    <col min="275" max="275" width="17.44140625" bestFit="1" customWidth="1"/>
    <col min="276" max="276" width="42.88671875" bestFit="1" customWidth="1"/>
    <col min="277" max="277" width="11.21875" bestFit="1" customWidth="1"/>
    <col min="278" max="278" width="23.44140625" bestFit="1" customWidth="1"/>
    <col min="279" max="279" width="40.33203125" bestFit="1" customWidth="1"/>
    <col min="280" max="280" width="17.21875" bestFit="1" customWidth="1"/>
    <col min="281" max="281" width="21.88671875" bestFit="1" customWidth="1"/>
    <col min="282" max="282" width="25" bestFit="1" customWidth="1"/>
    <col min="283" max="283" width="69.109375" bestFit="1" customWidth="1"/>
    <col min="284" max="284" width="20.5546875" bestFit="1" customWidth="1"/>
    <col min="285" max="285" width="95.21875" bestFit="1" customWidth="1"/>
    <col min="286" max="286" width="109.109375" bestFit="1" customWidth="1"/>
    <col min="287" max="287" width="44.33203125" bestFit="1" customWidth="1"/>
    <col min="288" max="288" width="96.6640625" bestFit="1" customWidth="1"/>
    <col min="289" max="289" width="82.21875" bestFit="1" customWidth="1"/>
    <col min="290" max="290" width="17" bestFit="1" customWidth="1"/>
    <col min="291" max="291" width="56.44140625" bestFit="1" customWidth="1"/>
    <col min="292" max="292" width="28.88671875" bestFit="1" customWidth="1"/>
    <col min="293" max="293" width="12.88671875" bestFit="1" customWidth="1"/>
    <col min="294" max="294" width="41.21875" bestFit="1" customWidth="1"/>
    <col min="295" max="295" width="98" bestFit="1" customWidth="1"/>
    <col min="296" max="296" width="45.6640625" bestFit="1" customWidth="1"/>
    <col min="297" max="297" width="39.6640625" bestFit="1" customWidth="1"/>
    <col min="298" max="298" width="65.6640625" bestFit="1" customWidth="1"/>
    <col min="299" max="299" width="15.6640625" bestFit="1" customWidth="1"/>
    <col min="300" max="300" width="42.88671875" bestFit="1" customWidth="1"/>
    <col min="301" max="301" width="73.77734375" bestFit="1" customWidth="1"/>
    <col min="302" max="302" width="21.77734375" bestFit="1" customWidth="1"/>
    <col min="303" max="303" width="41.33203125" bestFit="1" customWidth="1"/>
    <col min="304" max="304" width="42.33203125" bestFit="1" customWidth="1"/>
    <col min="305" max="305" width="21.6640625" bestFit="1" customWidth="1"/>
    <col min="306" max="306" width="54.21875" bestFit="1" customWidth="1"/>
    <col min="307" max="307" width="67.77734375" bestFit="1" customWidth="1"/>
    <col min="308" max="308" width="24.5546875" bestFit="1" customWidth="1"/>
    <col min="309" max="309" width="40" bestFit="1" customWidth="1"/>
    <col min="310" max="310" width="104.88671875" bestFit="1" customWidth="1"/>
    <col min="311" max="311" width="24.21875" bestFit="1" customWidth="1"/>
    <col min="312" max="312" width="57.77734375" bestFit="1" customWidth="1"/>
    <col min="313" max="313" width="29.5546875" bestFit="1" customWidth="1"/>
    <col min="314" max="314" width="17.5546875" bestFit="1" customWidth="1"/>
    <col min="315" max="315" width="17.88671875" bestFit="1" customWidth="1"/>
    <col min="316" max="316" width="72.6640625" bestFit="1" customWidth="1"/>
    <col min="317" max="317" width="20.77734375" bestFit="1" customWidth="1"/>
    <col min="318" max="318" width="19.77734375" bestFit="1" customWidth="1"/>
    <col min="319" max="319" width="31.21875" bestFit="1" customWidth="1"/>
    <col min="320" max="320" width="68.77734375" bestFit="1" customWidth="1"/>
    <col min="321" max="321" width="76.44140625" bestFit="1" customWidth="1"/>
    <col min="322" max="322" width="18.44140625" bestFit="1" customWidth="1"/>
    <col min="323" max="323" width="18.6640625" bestFit="1" customWidth="1"/>
    <col min="324" max="324" width="84.5546875" bestFit="1" customWidth="1"/>
    <col min="325" max="325" width="44.6640625" bestFit="1" customWidth="1"/>
    <col min="326" max="326" width="22.33203125" bestFit="1" customWidth="1"/>
    <col min="327" max="327" width="31" bestFit="1" customWidth="1"/>
    <col min="328" max="328" width="62.77734375" bestFit="1" customWidth="1"/>
    <col min="329" max="329" width="62.21875" bestFit="1" customWidth="1"/>
    <col min="330" max="330" width="22.6640625" bestFit="1" customWidth="1"/>
    <col min="331" max="331" width="21" bestFit="1" customWidth="1"/>
    <col min="332" max="332" width="69" bestFit="1" customWidth="1"/>
    <col min="333" max="333" width="61.109375" bestFit="1" customWidth="1"/>
    <col min="334" max="334" width="10.21875" bestFit="1" customWidth="1"/>
    <col min="335" max="335" width="25.44140625" bestFit="1" customWidth="1"/>
    <col min="336" max="336" width="14.6640625" bestFit="1" customWidth="1"/>
    <col min="337" max="337" width="60.21875" bestFit="1" customWidth="1"/>
    <col min="338" max="338" width="33.109375" bestFit="1" customWidth="1"/>
    <col min="339" max="339" width="47.109375" bestFit="1" customWidth="1"/>
    <col min="340" max="340" width="34" bestFit="1" customWidth="1"/>
    <col min="341" max="341" width="70.109375" bestFit="1" customWidth="1"/>
    <col min="342" max="342" width="23" bestFit="1" customWidth="1"/>
    <col min="343" max="343" width="22.6640625" bestFit="1" customWidth="1"/>
    <col min="344" max="344" width="23.44140625" bestFit="1" customWidth="1"/>
    <col min="345" max="345" width="73.33203125" bestFit="1" customWidth="1"/>
    <col min="346" max="346" width="43.109375" bestFit="1" customWidth="1"/>
    <col min="347" max="347" width="46.33203125" bestFit="1" customWidth="1"/>
    <col min="348" max="348" width="57.109375" bestFit="1" customWidth="1"/>
    <col min="349" max="349" width="7.77734375" bestFit="1" customWidth="1"/>
    <col min="350" max="350" width="39.44140625" bestFit="1" customWidth="1"/>
    <col min="351" max="351" width="77.21875" bestFit="1" customWidth="1"/>
    <col min="352" max="352" width="11.88671875" bestFit="1" customWidth="1"/>
  </cols>
  <sheetData>
    <row r="3" spans="1:3" x14ac:dyDescent="0.3">
      <c r="A3" s="2" t="s">
        <v>625</v>
      </c>
      <c r="B3" s="1" t="s">
        <v>610</v>
      </c>
      <c r="C3" s="7" t="s">
        <v>610</v>
      </c>
    </row>
    <row r="4" spans="1:3" x14ac:dyDescent="0.3">
      <c r="A4" s="5">
        <v>2009</v>
      </c>
      <c r="B4" s="6">
        <v>4.5443431298670595E-2</v>
      </c>
      <c r="C4" s="1">
        <v>3567282</v>
      </c>
    </row>
    <row r="5" spans="1:3" x14ac:dyDescent="0.3">
      <c r="A5" s="5">
        <v>2010</v>
      </c>
      <c r="B5" s="6">
        <v>4.6121487453954745E-2</v>
      </c>
      <c r="C5" s="1">
        <v>3620509</v>
      </c>
    </row>
    <row r="6" spans="1:3" x14ac:dyDescent="0.3">
      <c r="A6" s="5">
        <v>2011</v>
      </c>
      <c r="B6" s="6">
        <v>7.0684478370139858E-2</v>
      </c>
      <c r="C6" s="1">
        <v>5548689</v>
      </c>
    </row>
    <row r="7" spans="1:3" x14ac:dyDescent="0.3">
      <c r="A7" s="5">
        <v>2012</v>
      </c>
      <c r="B7" s="6">
        <v>0.1137514328453831</v>
      </c>
      <c r="C7" s="1">
        <v>8929419</v>
      </c>
    </row>
    <row r="8" spans="1:3" x14ac:dyDescent="0.3">
      <c r="A8" s="5">
        <v>2013</v>
      </c>
      <c r="B8" s="6">
        <v>0.1060081887506959</v>
      </c>
      <c r="C8" s="1">
        <v>8321579</v>
      </c>
    </row>
    <row r="9" spans="1:3" x14ac:dyDescent="0.3">
      <c r="A9" s="5">
        <v>2014</v>
      </c>
      <c r="B9" s="6">
        <v>0.13535772592803832</v>
      </c>
      <c r="C9" s="1">
        <v>10625500</v>
      </c>
    </row>
    <row r="10" spans="1:3" x14ac:dyDescent="0.3">
      <c r="A10" s="5">
        <v>2015</v>
      </c>
      <c r="B10" s="6">
        <v>9.866527893627923E-2</v>
      </c>
      <c r="C10" s="1">
        <v>7745165</v>
      </c>
    </row>
    <row r="11" spans="1:3" x14ac:dyDescent="0.3">
      <c r="A11" s="5">
        <v>2016</v>
      </c>
      <c r="B11" s="6">
        <v>0.1012941525997435</v>
      </c>
      <c r="C11" s="1">
        <v>7951530</v>
      </c>
    </row>
    <row r="12" spans="1:3" x14ac:dyDescent="0.3">
      <c r="A12" s="5">
        <v>2017</v>
      </c>
      <c r="B12" s="6">
        <v>8.4958549618431467E-2</v>
      </c>
      <c r="C12" s="1">
        <v>6669195</v>
      </c>
    </row>
    <row r="13" spans="1:3" x14ac:dyDescent="0.3">
      <c r="A13" s="5">
        <v>2018</v>
      </c>
      <c r="B13" s="6">
        <v>9.1511211334385015E-2</v>
      </c>
      <c r="C13" s="1">
        <v>7183575</v>
      </c>
    </row>
    <row r="14" spans="1:3" x14ac:dyDescent="0.3">
      <c r="A14" s="5">
        <v>2019</v>
      </c>
      <c r="B14" s="6">
        <v>0.10620406286427828</v>
      </c>
      <c r="C14" s="1">
        <v>8336955</v>
      </c>
    </row>
    <row r="15" spans="1:3" x14ac:dyDescent="0.3">
      <c r="A15" s="5" t="s">
        <v>626</v>
      </c>
      <c r="B15" s="6">
        <v>1</v>
      </c>
      <c r="C15" s="8">
        <v>78499398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AE5B1-79D2-40F7-AC7D-4FECDF809B74}">
  <dimension ref="A2:L36"/>
  <sheetViews>
    <sheetView zoomScale="85" zoomScaleNormal="85" workbookViewId="0">
      <selection activeCell="A4" sqref="A4"/>
    </sheetView>
  </sheetViews>
  <sheetFormatPr baseColWidth="10" defaultRowHeight="14.4" x14ac:dyDescent="0.3"/>
  <cols>
    <col min="1" max="1" width="23" bestFit="1" customWidth="1"/>
    <col min="2" max="2" width="15.6640625" bestFit="1" customWidth="1"/>
    <col min="3" max="3" width="17.44140625" style="1" bestFit="1" customWidth="1"/>
    <col min="4" max="4" width="33.5546875" bestFit="1" customWidth="1"/>
    <col min="5" max="5" width="106.33203125" bestFit="1" customWidth="1"/>
    <col min="6" max="6" width="18.77734375" bestFit="1" customWidth="1"/>
    <col min="7" max="7" width="16.44140625" bestFit="1" customWidth="1"/>
    <col min="8" max="8" width="64.88671875" bestFit="1" customWidth="1"/>
    <col min="9" max="9" width="17.5546875" bestFit="1" customWidth="1"/>
    <col min="10" max="10" width="59.77734375" bestFit="1" customWidth="1"/>
    <col min="11" max="11" width="93.33203125" bestFit="1" customWidth="1"/>
    <col min="12" max="12" width="26.109375" bestFit="1" customWidth="1"/>
    <col min="13" max="13" width="29.33203125" bestFit="1" customWidth="1"/>
    <col min="14" max="14" width="38.6640625" bestFit="1" customWidth="1"/>
    <col min="15" max="15" width="23.6640625" bestFit="1" customWidth="1"/>
    <col min="16" max="16" width="81" bestFit="1" customWidth="1"/>
    <col min="17" max="17" width="20.88671875" bestFit="1" customWidth="1"/>
    <col min="18" max="18" width="28.6640625" bestFit="1" customWidth="1"/>
    <col min="19" max="19" width="97.21875" bestFit="1" customWidth="1"/>
    <col min="20" max="20" width="98.33203125" bestFit="1" customWidth="1"/>
    <col min="21" max="21" width="45.44140625" bestFit="1" customWidth="1"/>
    <col min="22" max="22" width="39.6640625" bestFit="1" customWidth="1"/>
    <col min="23" max="23" width="103.77734375" bestFit="1" customWidth="1"/>
    <col min="24" max="24" width="17.6640625" bestFit="1" customWidth="1"/>
    <col min="25" max="25" width="24.33203125" bestFit="1" customWidth="1"/>
    <col min="26" max="26" width="8.33203125" bestFit="1" customWidth="1"/>
    <col min="27" max="27" width="74" bestFit="1" customWidth="1"/>
    <col min="28" max="28" width="24.109375" bestFit="1" customWidth="1"/>
    <col min="29" max="29" width="57.44140625" bestFit="1" customWidth="1"/>
    <col min="30" max="30" width="29.5546875" bestFit="1" customWidth="1"/>
    <col min="31" max="31" width="32.44140625" bestFit="1" customWidth="1"/>
    <col min="32" max="32" width="26.33203125" bestFit="1" customWidth="1"/>
    <col min="33" max="33" width="36.33203125" bestFit="1" customWidth="1"/>
    <col min="34" max="34" width="56.5546875" bestFit="1" customWidth="1"/>
    <col min="35" max="35" width="58.44140625" bestFit="1" customWidth="1"/>
    <col min="36" max="36" width="9.33203125" bestFit="1" customWidth="1"/>
    <col min="37" max="37" width="45.77734375" bestFit="1" customWidth="1"/>
    <col min="38" max="38" width="24.21875" bestFit="1" customWidth="1"/>
    <col min="39" max="39" width="11" bestFit="1" customWidth="1"/>
    <col min="40" max="40" width="37.21875" bestFit="1" customWidth="1"/>
    <col min="41" max="41" width="49" bestFit="1" customWidth="1"/>
    <col min="42" max="42" width="38.21875" bestFit="1" customWidth="1"/>
    <col min="43" max="43" width="37.44140625" bestFit="1" customWidth="1"/>
    <col min="44" max="44" width="68.77734375" bestFit="1" customWidth="1"/>
    <col min="45" max="45" width="45.44140625" bestFit="1" customWidth="1"/>
    <col min="46" max="46" width="30" bestFit="1" customWidth="1"/>
    <col min="47" max="47" width="29.6640625" bestFit="1" customWidth="1"/>
    <col min="48" max="48" width="55" bestFit="1" customWidth="1"/>
    <col min="49" max="49" width="40" bestFit="1" customWidth="1"/>
    <col min="50" max="50" width="38.109375" bestFit="1" customWidth="1"/>
    <col min="51" max="51" width="51.88671875" bestFit="1" customWidth="1"/>
    <col min="52" max="52" width="44.77734375" bestFit="1" customWidth="1"/>
    <col min="53" max="53" width="15.33203125" bestFit="1" customWidth="1"/>
    <col min="54" max="54" width="88.88671875" bestFit="1" customWidth="1"/>
    <col min="55" max="55" width="58.88671875" bestFit="1" customWidth="1"/>
    <col min="56" max="56" width="66.5546875" bestFit="1" customWidth="1"/>
    <col min="57" max="57" width="52.6640625" bestFit="1" customWidth="1"/>
    <col min="58" max="58" width="50.6640625" bestFit="1" customWidth="1"/>
    <col min="59" max="59" width="26.5546875" bestFit="1" customWidth="1"/>
    <col min="60" max="60" width="13.6640625" bestFit="1" customWidth="1"/>
    <col min="61" max="61" width="52.77734375" bestFit="1" customWidth="1"/>
    <col min="62" max="62" width="63.44140625" bestFit="1" customWidth="1"/>
    <col min="63" max="63" width="35.109375" bestFit="1" customWidth="1"/>
    <col min="64" max="64" width="39.77734375" bestFit="1" customWidth="1"/>
    <col min="65" max="65" width="31.88671875" bestFit="1" customWidth="1"/>
    <col min="66" max="66" width="95.21875" bestFit="1" customWidth="1"/>
    <col min="67" max="67" width="9.109375" bestFit="1" customWidth="1"/>
    <col min="68" max="68" width="19" bestFit="1" customWidth="1"/>
    <col min="69" max="69" width="103.88671875" bestFit="1" customWidth="1"/>
    <col min="70" max="70" width="19.33203125" bestFit="1" customWidth="1"/>
    <col min="71" max="71" width="45.33203125" bestFit="1" customWidth="1"/>
    <col min="72" max="72" width="66.33203125" bestFit="1" customWidth="1"/>
    <col min="73" max="73" width="74.44140625" bestFit="1" customWidth="1"/>
    <col min="74" max="74" width="71.77734375" bestFit="1" customWidth="1"/>
    <col min="75" max="75" width="64.5546875" bestFit="1" customWidth="1"/>
    <col min="76" max="76" width="77.44140625" bestFit="1" customWidth="1"/>
    <col min="77" max="77" width="71.21875" bestFit="1" customWidth="1"/>
    <col min="78" max="78" width="35.5546875" bestFit="1" customWidth="1"/>
    <col min="79" max="79" width="84.5546875" bestFit="1" customWidth="1"/>
    <col min="80" max="80" width="46" bestFit="1" customWidth="1"/>
    <col min="81" max="81" width="69.77734375" bestFit="1" customWidth="1"/>
    <col min="82" max="82" width="86" bestFit="1" customWidth="1"/>
    <col min="83" max="83" width="85.5546875" bestFit="1" customWidth="1"/>
    <col min="84" max="84" width="20.33203125" bestFit="1" customWidth="1"/>
    <col min="85" max="85" width="15" bestFit="1" customWidth="1"/>
    <col min="86" max="86" width="18.33203125" bestFit="1" customWidth="1"/>
    <col min="87" max="87" width="105.109375" bestFit="1" customWidth="1"/>
    <col min="88" max="88" width="13.44140625" bestFit="1" customWidth="1"/>
    <col min="89" max="89" width="69.21875" bestFit="1" customWidth="1"/>
    <col min="90" max="90" width="27.77734375" bestFit="1" customWidth="1"/>
    <col min="91" max="91" width="17.21875" bestFit="1" customWidth="1"/>
    <col min="92" max="92" width="88.33203125" bestFit="1" customWidth="1"/>
    <col min="93" max="93" width="74.109375" bestFit="1" customWidth="1"/>
    <col min="94" max="94" width="71.77734375" bestFit="1" customWidth="1"/>
    <col min="95" max="95" width="38.6640625" bestFit="1" customWidth="1"/>
    <col min="96" max="96" width="13.77734375" bestFit="1" customWidth="1"/>
    <col min="97" max="97" width="26.6640625" bestFit="1" customWidth="1"/>
    <col min="98" max="98" width="23.88671875" bestFit="1" customWidth="1"/>
    <col min="99" max="99" width="73.5546875" bestFit="1" customWidth="1"/>
    <col min="100" max="100" width="88.6640625" bestFit="1" customWidth="1"/>
    <col min="101" max="101" width="28.6640625" bestFit="1" customWidth="1"/>
    <col min="102" max="102" width="71.21875" bestFit="1" customWidth="1"/>
    <col min="103" max="103" width="18" bestFit="1" customWidth="1"/>
    <col min="104" max="104" width="70.77734375" bestFit="1" customWidth="1"/>
    <col min="105" max="105" width="97.44140625" bestFit="1" customWidth="1"/>
    <col min="106" max="106" width="90.88671875" bestFit="1" customWidth="1"/>
    <col min="107" max="107" width="25.33203125" bestFit="1" customWidth="1"/>
    <col min="108" max="108" width="18.21875" bestFit="1" customWidth="1"/>
    <col min="109" max="109" width="27.21875" bestFit="1" customWidth="1"/>
    <col min="110" max="110" width="8.6640625" bestFit="1" customWidth="1"/>
    <col min="111" max="111" width="90.88671875" bestFit="1" customWidth="1"/>
    <col min="112" max="112" width="61.21875" bestFit="1" customWidth="1"/>
    <col min="113" max="113" width="15.44140625" bestFit="1" customWidth="1"/>
    <col min="114" max="114" width="84.21875" bestFit="1" customWidth="1"/>
    <col min="115" max="115" width="77.77734375" bestFit="1" customWidth="1"/>
    <col min="116" max="116" width="64.109375" bestFit="1" customWidth="1"/>
    <col min="117" max="117" width="4.77734375" bestFit="1" customWidth="1"/>
    <col min="118" max="118" width="22.5546875" bestFit="1" customWidth="1"/>
    <col min="119" max="119" width="58.44140625" bestFit="1" customWidth="1"/>
    <col min="120" max="120" width="74.33203125" bestFit="1" customWidth="1"/>
    <col min="121" max="121" width="67.21875" bestFit="1" customWidth="1"/>
    <col min="122" max="122" width="71.88671875" bestFit="1" customWidth="1"/>
    <col min="123" max="123" width="74.77734375" bestFit="1" customWidth="1"/>
    <col min="124" max="124" width="71.44140625" bestFit="1" customWidth="1"/>
    <col min="125" max="125" width="23.6640625" bestFit="1" customWidth="1"/>
    <col min="126" max="126" width="37.77734375" bestFit="1" customWidth="1"/>
    <col min="127" max="127" width="27.44140625" bestFit="1" customWidth="1"/>
    <col min="128" max="128" width="69.6640625" bestFit="1" customWidth="1"/>
    <col min="129" max="129" width="48.44140625" bestFit="1" customWidth="1"/>
    <col min="130" max="130" width="56.33203125" bestFit="1" customWidth="1"/>
    <col min="131" max="131" width="34.109375" bestFit="1" customWidth="1"/>
    <col min="132" max="132" width="24" bestFit="1" customWidth="1"/>
    <col min="133" max="133" width="18.6640625" bestFit="1" customWidth="1"/>
    <col min="134" max="134" width="25.88671875" bestFit="1" customWidth="1"/>
    <col min="135" max="135" width="102.109375" bestFit="1" customWidth="1"/>
    <col min="136" max="136" width="51.44140625" bestFit="1" customWidth="1"/>
    <col min="137" max="137" width="11" bestFit="1" customWidth="1"/>
    <col min="138" max="138" width="25.21875" bestFit="1" customWidth="1"/>
    <col min="139" max="139" width="7.33203125" bestFit="1" customWidth="1"/>
    <col min="140" max="140" width="67.21875" bestFit="1" customWidth="1"/>
    <col min="141" max="141" width="7.21875" bestFit="1" customWidth="1"/>
    <col min="142" max="142" width="34.77734375" bestFit="1" customWidth="1"/>
    <col min="143" max="143" width="103.33203125" bestFit="1" customWidth="1"/>
    <col min="144" max="144" width="93.44140625" bestFit="1" customWidth="1"/>
    <col min="145" max="145" width="62.21875" bestFit="1" customWidth="1"/>
    <col min="146" max="146" width="20" bestFit="1" customWidth="1"/>
    <col min="147" max="147" width="23.109375" bestFit="1" customWidth="1"/>
    <col min="148" max="148" width="60.88671875" bestFit="1" customWidth="1"/>
    <col min="149" max="149" width="34.109375" bestFit="1" customWidth="1"/>
    <col min="150" max="150" width="31.77734375" bestFit="1" customWidth="1"/>
    <col min="151" max="151" width="86.6640625" bestFit="1" customWidth="1"/>
    <col min="152" max="152" width="88.44140625" bestFit="1" customWidth="1"/>
    <col min="153" max="153" width="77" bestFit="1" customWidth="1"/>
    <col min="154" max="154" width="81.44140625" bestFit="1" customWidth="1"/>
    <col min="155" max="155" width="71.21875" bestFit="1" customWidth="1"/>
    <col min="156" max="156" width="24.109375" bestFit="1" customWidth="1"/>
    <col min="157" max="157" width="104.5546875" bestFit="1" customWidth="1"/>
    <col min="158" max="158" width="26.88671875" bestFit="1" customWidth="1"/>
    <col min="159" max="159" width="38.5546875" bestFit="1" customWidth="1"/>
    <col min="160" max="160" width="16.21875" bestFit="1" customWidth="1"/>
    <col min="161" max="161" width="82.5546875" bestFit="1" customWidth="1"/>
    <col min="162" max="162" width="40.88671875" bestFit="1" customWidth="1"/>
    <col min="163" max="163" width="4" bestFit="1" customWidth="1"/>
    <col min="164" max="164" width="16.33203125" bestFit="1" customWidth="1"/>
    <col min="165" max="165" width="14.33203125" bestFit="1" customWidth="1"/>
    <col min="166" max="166" width="19.77734375" bestFit="1" customWidth="1"/>
    <col min="167" max="167" width="16.5546875" bestFit="1" customWidth="1"/>
    <col min="168" max="168" width="72.88671875" bestFit="1" customWidth="1"/>
    <col min="169" max="169" width="15.44140625" bestFit="1" customWidth="1"/>
    <col min="170" max="170" width="46.109375" bestFit="1" customWidth="1"/>
    <col min="171" max="171" width="41" bestFit="1" customWidth="1"/>
    <col min="172" max="172" width="68.6640625" bestFit="1" customWidth="1"/>
    <col min="173" max="173" width="37.6640625" bestFit="1" customWidth="1"/>
    <col min="174" max="174" width="14.21875" bestFit="1" customWidth="1"/>
    <col min="175" max="175" width="46.88671875" bestFit="1" customWidth="1"/>
    <col min="176" max="176" width="35.77734375" bestFit="1" customWidth="1"/>
    <col min="177" max="177" width="28.77734375" bestFit="1" customWidth="1"/>
    <col min="178" max="178" width="57.33203125" bestFit="1" customWidth="1"/>
    <col min="179" max="179" width="86.109375" bestFit="1" customWidth="1"/>
    <col min="180" max="180" width="27" bestFit="1" customWidth="1"/>
    <col min="181" max="181" width="11.88671875" bestFit="1" customWidth="1"/>
    <col min="182" max="182" width="99" bestFit="1" customWidth="1"/>
    <col min="183" max="183" width="25" bestFit="1" customWidth="1"/>
    <col min="184" max="184" width="21.5546875" bestFit="1" customWidth="1"/>
    <col min="185" max="185" width="33.21875" bestFit="1" customWidth="1"/>
    <col min="186" max="186" width="13.77734375" bestFit="1" customWidth="1"/>
    <col min="187" max="187" width="53" bestFit="1" customWidth="1"/>
    <col min="188" max="188" width="54.33203125" bestFit="1" customWidth="1"/>
    <col min="189" max="189" width="29.109375" bestFit="1" customWidth="1"/>
    <col min="190" max="190" width="12" bestFit="1" customWidth="1"/>
    <col min="191" max="191" width="25.77734375" bestFit="1" customWidth="1"/>
    <col min="192" max="192" width="38.5546875" bestFit="1" customWidth="1"/>
    <col min="193" max="193" width="58" bestFit="1" customWidth="1"/>
    <col min="194" max="194" width="36.6640625" bestFit="1" customWidth="1"/>
    <col min="195" max="195" width="82.5546875" bestFit="1" customWidth="1"/>
    <col min="196" max="196" width="52.77734375" bestFit="1" customWidth="1"/>
    <col min="197" max="197" width="64.21875" bestFit="1" customWidth="1"/>
    <col min="198" max="198" width="49.21875" bestFit="1" customWidth="1"/>
    <col min="199" max="199" width="56" bestFit="1" customWidth="1"/>
    <col min="200" max="200" width="49.88671875" bestFit="1" customWidth="1"/>
    <col min="201" max="201" width="23.5546875" bestFit="1" customWidth="1"/>
    <col min="202" max="202" width="79.109375" bestFit="1" customWidth="1"/>
    <col min="203" max="203" width="78" bestFit="1" customWidth="1"/>
    <col min="204" max="204" width="53.44140625" bestFit="1" customWidth="1"/>
    <col min="205" max="205" width="10.5546875" bestFit="1" customWidth="1"/>
    <col min="206" max="206" width="106.88671875" bestFit="1" customWidth="1"/>
    <col min="207" max="207" width="78.44140625" bestFit="1" customWidth="1"/>
    <col min="208" max="208" width="16.109375" bestFit="1" customWidth="1"/>
    <col min="209" max="209" width="73.77734375" bestFit="1" customWidth="1"/>
    <col min="210" max="210" width="48" bestFit="1" customWidth="1"/>
    <col min="211" max="211" width="16.88671875" bestFit="1" customWidth="1"/>
    <col min="212" max="212" width="103.21875" bestFit="1" customWidth="1"/>
    <col min="213" max="213" width="9.77734375" bestFit="1" customWidth="1"/>
    <col min="214" max="214" width="33" bestFit="1" customWidth="1"/>
    <col min="215" max="215" width="17.33203125" bestFit="1" customWidth="1"/>
    <col min="216" max="216" width="95.33203125" bestFit="1" customWidth="1"/>
    <col min="217" max="217" width="45.33203125" bestFit="1" customWidth="1"/>
    <col min="218" max="218" width="26.88671875" bestFit="1" customWidth="1"/>
    <col min="219" max="219" width="68.6640625" bestFit="1" customWidth="1"/>
    <col min="220" max="220" width="51" bestFit="1" customWidth="1"/>
    <col min="221" max="221" width="86.44140625" bestFit="1" customWidth="1"/>
    <col min="222" max="222" width="45.21875" bestFit="1" customWidth="1"/>
    <col min="223" max="223" width="17.21875" bestFit="1" customWidth="1"/>
    <col min="224" max="224" width="66.109375" bestFit="1" customWidth="1"/>
    <col min="225" max="225" width="12.77734375" bestFit="1" customWidth="1"/>
    <col min="226" max="226" width="11.88671875" bestFit="1" customWidth="1"/>
    <col min="227" max="227" width="32.6640625" bestFit="1" customWidth="1"/>
    <col min="228" max="228" width="39.109375" bestFit="1" customWidth="1"/>
    <col min="229" max="229" width="44.21875" bestFit="1" customWidth="1"/>
    <col min="230" max="230" width="99.21875" bestFit="1" customWidth="1"/>
    <col min="231" max="231" width="64.5546875" bestFit="1" customWidth="1"/>
    <col min="232" max="232" width="53.44140625" bestFit="1" customWidth="1"/>
    <col min="233" max="233" width="13.5546875" bestFit="1" customWidth="1"/>
    <col min="234" max="234" width="23.21875" bestFit="1" customWidth="1"/>
    <col min="235" max="235" width="81.5546875" bestFit="1" customWidth="1"/>
    <col min="236" max="236" width="17.6640625" bestFit="1" customWidth="1"/>
    <col min="237" max="237" width="101.6640625" bestFit="1" customWidth="1"/>
    <col min="238" max="238" width="78.5546875" bestFit="1" customWidth="1"/>
    <col min="239" max="239" width="21.5546875" bestFit="1" customWidth="1"/>
    <col min="240" max="240" width="32.44140625" bestFit="1" customWidth="1"/>
    <col min="241" max="241" width="82.77734375" bestFit="1" customWidth="1"/>
    <col min="242" max="242" width="22.44140625" bestFit="1" customWidth="1"/>
    <col min="243" max="243" width="63.44140625" bestFit="1" customWidth="1"/>
    <col min="244" max="244" width="26.77734375" bestFit="1" customWidth="1"/>
    <col min="245" max="245" width="18.88671875" bestFit="1" customWidth="1"/>
    <col min="246" max="246" width="45.33203125" bestFit="1" customWidth="1"/>
    <col min="247" max="247" width="67.33203125" bestFit="1" customWidth="1"/>
    <col min="248" max="248" width="73.77734375" bestFit="1" customWidth="1"/>
    <col min="249" max="249" width="11.88671875" bestFit="1" customWidth="1"/>
    <col min="250" max="250" width="18" bestFit="1" customWidth="1"/>
    <col min="251" max="251" width="50.88671875" bestFit="1" customWidth="1"/>
    <col min="252" max="252" width="42.77734375" bestFit="1" customWidth="1"/>
    <col min="253" max="253" width="37.33203125" bestFit="1" customWidth="1"/>
    <col min="254" max="254" width="44.5546875" bestFit="1" customWidth="1"/>
    <col min="255" max="255" width="21" bestFit="1" customWidth="1"/>
    <col min="256" max="256" width="42.21875" bestFit="1" customWidth="1"/>
    <col min="257" max="257" width="15.33203125" bestFit="1" customWidth="1"/>
    <col min="258" max="258" width="20.6640625" bestFit="1" customWidth="1"/>
    <col min="259" max="259" width="43.21875" bestFit="1" customWidth="1"/>
    <col min="260" max="260" width="18.44140625" bestFit="1" customWidth="1"/>
    <col min="261" max="261" width="66.77734375" bestFit="1" customWidth="1"/>
    <col min="262" max="262" width="14.33203125" bestFit="1" customWidth="1"/>
    <col min="263" max="263" width="8.33203125" bestFit="1" customWidth="1"/>
    <col min="264" max="264" width="42.6640625" bestFit="1" customWidth="1"/>
    <col min="265" max="265" width="16.88671875" bestFit="1" customWidth="1"/>
    <col min="266" max="266" width="24.5546875" bestFit="1" customWidth="1"/>
    <col min="267" max="267" width="34.88671875" bestFit="1" customWidth="1"/>
    <col min="268" max="268" width="31.6640625" bestFit="1" customWidth="1"/>
    <col min="269" max="269" width="77.109375" bestFit="1" customWidth="1"/>
    <col min="270" max="270" width="14.5546875" bestFit="1" customWidth="1"/>
    <col min="271" max="271" width="53.77734375" bestFit="1" customWidth="1"/>
    <col min="272" max="272" width="31.5546875" bestFit="1" customWidth="1"/>
    <col min="273" max="273" width="40.5546875" bestFit="1" customWidth="1"/>
    <col min="274" max="274" width="75.77734375" bestFit="1" customWidth="1"/>
    <col min="275" max="275" width="12.21875" bestFit="1" customWidth="1"/>
    <col min="276" max="276" width="37.44140625" bestFit="1" customWidth="1"/>
    <col min="277" max="277" width="14.77734375" bestFit="1" customWidth="1"/>
    <col min="278" max="278" width="12.88671875" bestFit="1" customWidth="1"/>
    <col min="279" max="279" width="17.44140625" bestFit="1" customWidth="1"/>
    <col min="280" max="280" width="42.88671875" bestFit="1" customWidth="1"/>
    <col min="281" max="281" width="11.21875" bestFit="1" customWidth="1"/>
    <col min="282" max="282" width="23.44140625" bestFit="1" customWidth="1"/>
    <col min="283" max="283" width="40.33203125" bestFit="1" customWidth="1"/>
    <col min="284" max="284" width="17.21875" bestFit="1" customWidth="1"/>
    <col min="285" max="285" width="21.88671875" bestFit="1" customWidth="1"/>
    <col min="286" max="286" width="25" bestFit="1" customWidth="1"/>
    <col min="287" max="287" width="69.109375" bestFit="1" customWidth="1"/>
    <col min="288" max="288" width="20.5546875" bestFit="1" customWidth="1"/>
    <col min="289" max="289" width="95.21875" bestFit="1" customWidth="1"/>
    <col min="290" max="290" width="109.109375" bestFit="1" customWidth="1"/>
    <col min="291" max="291" width="44.33203125" bestFit="1" customWidth="1"/>
    <col min="292" max="292" width="96.6640625" bestFit="1" customWidth="1"/>
    <col min="293" max="293" width="82.21875" bestFit="1" customWidth="1"/>
    <col min="294" max="294" width="17" bestFit="1" customWidth="1"/>
    <col min="295" max="295" width="56.44140625" bestFit="1" customWidth="1"/>
    <col min="296" max="296" width="28.88671875" bestFit="1" customWidth="1"/>
    <col min="297" max="297" width="12.88671875" bestFit="1" customWidth="1"/>
    <col min="298" max="298" width="41.21875" bestFit="1" customWidth="1"/>
    <col min="299" max="299" width="98" bestFit="1" customWidth="1"/>
    <col min="300" max="300" width="45.6640625" bestFit="1" customWidth="1"/>
    <col min="301" max="301" width="39.6640625" bestFit="1" customWidth="1"/>
    <col min="302" max="302" width="65.6640625" bestFit="1" customWidth="1"/>
    <col min="303" max="303" width="15.6640625" bestFit="1" customWidth="1"/>
    <col min="304" max="304" width="42.88671875" bestFit="1" customWidth="1"/>
    <col min="305" max="305" width="73.77734375" bestFit="1" customWidth="1"/>
    <col min="306" max="306" width="21.77734375" bestFit="1" customWidth="1"/>
    <col min="307" max="307" width="41.33203125" bestFit="1" customWidth="1"/>
    <col min="308" max="308" width="42.33203125" bestFit="1" customWidth="1"/>
    <col min="309" max="309" width="21.6640625" bestFit="1" customWidth="1"/>
    <col min="310" max="310" width="54.21875" bestFit="1" customWidth="1"/>
    <col min="311" max="311" width="67.77734375" bestFit="1" customWidth="1"/>
    <col min="312" max="312" width="24.5546875" bestFit="1" customWidth="1"/>
    <col min="313" max="313" width="40" bestFit="1" customWidth="1"/>
    <col min="314" max="314" width="104.88671875" bestFit="1" customWidth="1"/>
    <col min="315" max="315" width="24.21875" bestFit="1" customWidth="1"/>
    <col min="316" max="316" width="57.77734375" bestFit="1" customWidth="1"/>
    <col min="317" max="317" width="29.5546875" bestFit="1" customWidth="1"/>
    <col min="318" max="318" width="17.5546875" bestFit="1" customWidth="1"/>
    <col min="319" max="319" width="17.88671875" bestFit="1" customWidth="1"/>
    <col min="320" max="320" width="72.6640625" bestFit="1" customWidth="1"/>
    <col min="321" max="321" width="20.77734375" bestFit="1" customWidth="1"/>
    <col min="322" max="322" width="19.77734375" bestFit="1" customWidth="1"/>
    <col min="323" max="323" width="31.21875" bestFit="1" customWidth="1"/>
    <col min="324" max="324" width="68.77734375" bestFit="1" customWidth="1"/>
    <col min="325" max="325" width="76.44140625" bestFit="1" customWidth="1"/>
    <col min="326" max="326" width="18.44140625" bestFit="1" customWidth="1"/>
    <col min="327" max="327" width="18.6640625" bestFit="1" customWidth="1"/>
    <col min="328" max="328" width="84.5546875" bestFit="1" customWidth="1"/>
    <col min="329" max="329" width="44.6640625" bestFit="1" customWidth="1"/>
    <col min="330" max="330" width="22.33203125" bestFit="1" customWidth="1"/>
    <col min="331" max="331" width="31" bestFit="1" customWidth="1"/>
    <col min="332" max="332" width="62.77734375" bestFit="1" customWidth="1"/>
    <col min="333" max="333" width="62.21875" bestFit="1" customWidth="1"/>
    <col min="334" max="334" width="22.6640625" bestFit="1" customWidth="1"/>
    <col min="335" max="335" width="21" bestFit="1" customWidth="1"/>
    <col min="336" max="336" width="69" bestFit="1" customWidth="1"/>
    <col min="337" max="337" width="61.109375" bestFit="1" customWidth="1"/>
    <col min="338" max="338" width="10.21875" bestFit="1" customWidth="1"/>
    <col min="339" max="339" width="25.44140625" bestFit="1" customWidth="1"/>
    <col min="340" max="340" width="14.6640625" bestFit="1" customWidth="1"/>
    <col min="341" max="341" width="60.21875" bestFit="1" customWidth="1"/>
    <col min="342" max="342" width="33.109375" bestFit="1" customWidth="1"/>
    <col min="343" max="343" width="47.109375" bestFit="1" customWidth="1"/>
    <col min="344" max="344" width="34" bestFit="1" customWidth="1"/>
    <col min="345" max="345" width="70.109375" bestFit="1" customWidth="1"/>
    <col min="346" max="346" width="23" bestFit="1" customWidth="1"/>
    <col min="347" max="347" width="22.6640625" bestFit="1" customWidth="1"/>
    <col min="348" max="348" width="23.44140625" bestFit="1" customWidth="1"/>
    <col min="349" max="349" width="73.33203125" bestFit="1" customWidth="1"/>
    <col min="350" max="350" width="43.109375" bestFit="1" customWidth="1"/>
    <col min="351" max="351" width="46.33203125" bestFit="1" customWidth="1"/>
    <col min="352" max="352" width="57.109375" bestFit="1" customWidth="1"/>
    <col min="353" max="353" width="7.77734375" bestFit="1" customWidth="1"/>
    <col min="354" max="354" width="39.44140625" bestFit="1" customWidth="1"/>
    <col min="355" max="355" width="77.21875" bestFit="1" customWidth="1"/>
    <col min="356" max="356" width="11.88671875" bestFit="1" customWidth="1"/>
  </cols>
  <sheetData>
    <row r="2" spans="1:12" x14ac:dyDescent="0.3">
      <c r="K2" t="s">
        <v>636</v>
      </c>
    </row>
    <row r="3" spans="1:12" x14ac:dyDescent="0.3">
      <c r="A3" t="s">
        <v>628</v>
      </c>
      <c r="C3" s="1" t="s">
        <v>627</v>
      </c>
      <c r="E3" t="s">
        <v>633</v>
      </c>
      <c r="H3" t="s">
        <v>629</v>
      </c>
      <c r="K3" t="s">
        <v>634</v>
      </c>
    </row>
    <row r="4" spans="1:12" x14ac:dyDescent="0.3">
      <c r="A4" s="2" t="s">
        <v>625</v>
      </c>
      <c r="B4" t="s">
        <v>630</v>
      </c>
      <c r="C4" s="1" t="s">
        <v>631</v>
      </c>
      <c r="E4" s="2" t="s">
        <v>625</v>
      </c>
      <c r="F4" t="s">
        <v>632</v>
      </c>
      <c r="H4" s="2" t="s">
        <v>625</v>
      </c>
      <c r="I4" t="s">
        <v>635</v>
      </c>
      <c r="K4" s="2" t="s">
        <v>625</v>
      </c>
      <c r="L4" s="1" t="s">
        <v>610</v>
      </c>
    </row>
    <row r="5" spans="1:12" x14ac:dyDescent="0.3">
      <c r="A5" s="5" t="s">
        <v>591</v>
      </c>
      <c r="B5" s="10">
        <v>87841</v>
      </c>
      <c r="C5" s="1">
        <v>13.1</v>
      </c>
      <c r="E5" s="5" t="s">
        <v>77</v>
      </c>
      <c r="F5" s="20">
        <v>49</v>
      </c>
      <c r="H5" s="5" t="s">
        <v>189</v>
      </c>
      <c r="I5">
        <v>4</v>
      </c>
      <c r="K5" s="5" t="s">
        <v>115</v>
      </c>
      <c r="L5" s="14">
        <v>1402590</v>
      </c>
    </row>
    <row r="6" spans="1:12" x14ac:dyDescent="0.3">
      <c r="A6" s="5" t="s">
        <v>626</v>
      </c>
      <c r="B6" s="10">
        <v>87841</v>
      </c>
      <c r="E6" s="5" t="s">
        <v>127</v>
      </c>
      <c r="F6" s="20">
        <v>49</v>
      </c>
      <c r="H6" s="5" t="s">
        <v>209</v>
      </c>
      <c r="I6">
        <v>4</v>
      </c>
      <c r="K6" s="13" t="s">
        <v>114</v>
      </c>
      <c r="L6" s="14">
        <v>1402590</v>
      </c>
    </row>
    <row r="7" spans="1:12" x14ac:dyDescent="0.3">
      <c r="E7" s="5" t="s">
        <v>129</v>
      </c>
      <c r="F7" s="20">
        <v>49</v>
      </c>
      <c r="H7" s="5" t="s">
        <v>370</v>
      </c>
      <c r="I7">
        <v>4</v>
      </c>
      <c r="K7" s="5" t="s">
        <v>340</v>
      </c>
      <c r="L7" s="14">
        <v>3946800</v>
      </c>
    </row>
    <row r="8" spans="1:12" x14ac:dyDescent="0.3">
      <c r="E8" s="5" t="s">
        <v>130</v>
      </c>
      <c r="F8" s="20">
        <v>49</v>
      </c>
      <c r="H8" s="5" t="s">
        <v>426</v>
      </c>
      <c r="I8">
        <v>4</v>
      </c>
      <c r="K8" s="13" t="s">
        <v>339</v>
      </c>
      <c r="L8" s="14">
        <v>3946800</v>
      </c>
    </row>
    <row r="9" spans="1:12" x14ac:dyDescent="0.3">
      <c r="E9" s="5" t="s">
        <v>131</v>
      </c>
      <c r="F9" s="20">
        <v>49</v>
      </c>
      <c r="H9" s="5" t="s">
        <v>626</v>
      </c>
      <c r="I9">
        <v>4</v>
      </c>
      <c r="K9" s="5" t="s">
        <v>319</v>
      </c>
      <c r="L9" s="14">
        <v>1423598</v>
      </c>
    </row>
    <row r="10" spans="1:12" x14ac:dyDescent="0.3">
      <c r="E10" s="5" t="s">
        <v>132</v>
      </c>
      <c r="F10" s="20">
        <v>49</v>
      </c>
      <c r="K10" s="13" t="s">
        <v>318</v>
      </c>
      <c r="L10" s="14">
        <v>1397376</v>
      </c>
    </row>
    <row r="11" spans="1:12" x14ac:dyDescent="0.3">
      <c r="E11" s="5" t="s">
        <v>133</v>
      </c>
      <c r="F11" s="20">
        <v>49</v>
      </c>
      <c r="K11" s="13" t="s">
        <v>582</v>
      </c>
      <c r="L11" s="14">
        <v>26222</v>
      </c>
    </row>
    <row r="12" spans="1:12" x14ac:dyDescent="0.3">
      <c r="E12" s="5" t="s">
        <v>197</v>
      </c>
      <c r="F12" s="20">
        <v>49</v>
      </c>
      <c r="K12" s="5" t="s">
        <v>157</v>
      </c>
      <c r="L12" s="14">
        <v>2517303</v>
      </c>
    </row>
    <row r="13" spans="1:12" x14ac:dyDescent="0.3">
      <c r="E13" s="5" t="s">
        <v>204</v>
      </c>
      <c r="F13" s="20">
        <v>49</v>
      </c>
      <c r="K13" s="13" t="s">
        <v>156</v>
      </c>
      <c r="L13" s="14">
        <v>165417</v>
      </c>
    </row>
    <row r="14" spans="1:12" x14ac:dyDescent="0.3">
      <c r="E14" s="5" t="s">
        <v>208</v>
      </c>
      <c r="F14" s="20">
        <v>49</v>
      </c>
      <c r="K14" s="13" t="s">
        <v>158</v>
      </c>
      <c r="L14" s="14">
        <v>222882</v>
      </c>
    </row>
    <row r="15" spans="1:12" x14ac:dyDescent="0.3">
      <c r="E15" s="5" t="s">
        <v>210</v>
      </c>
      <c r="F15" s="20">
        <v>49</v>
      </c>
      <c r="K15" s="13" t="s">
        <v>159</v>
      </c>
      <c r="L15" s="14">
        <v>1323420</v>
      </c>
    </row>
    <row r="16" spans="1:12" x14ac:dyDescent="0.3">
      <c r="E16" s="5" t="s">
        <v>212</v>
      </c>
      <c r="F16" s="20">
        <v>49</v>
      </c>
      <c r="K16" s="13" t="s">
        <v>160</v>
      </c>
      <c r="L16" s="14">
        <v>446848</v>
      </c>
    </row>
    <row r="17" spans="5:12" x14ac:dyDescent="0.3">
      <c r="E17" s="5" t="s">
        <v>213</v>
      </c>
      <c r="F17" s="20">
        <v>49</v>
      </c>
      <c r="K17" s="13" t="s">
        <v>201</v>
      </c>
      <c r="L17" s="14">
        <v>358736</v>
      </c>
    </row>
    <row r="18" spans="5:12" x14ac:dyDescent="0.3">
      <c r="E18" s="5" t="s">
        <v>231</v>
      </c>
      <c r="F18" s="20">
        <v>49</v>
      </c>
      <c r="K18" s="5" t="s">
        <v>385</v>
      </c>
      <c r="L18" s="14">
        <v>1516167</v>
      </c>
    </row>
    <row r="19" spans="5:12" x14ac:dyDescent="0.3">
      <c r="E19" s="5" t="s">
        <v>252</v>
      </c>
      <c r="F19" s="20">
        <v>49</v>
      </c>
      <c r="K19" s="13" t="s">
        <v>384</v>
      </c>
      <c r="L19" s="14">
        <v>1508940</v>
      </c>
    </row>
    <row r="20" spans="5:12" x14ac:dyDescent="0.3">
      <c r="E20" s="5" t="s">
        <v>269</v>
      </c>
      <c r="F20" s="20">
        <v>49</v>
      </c>
      <c r="K20" s="13" t="s">
        <v>431</v>
      </c>
      <c r="L20" s="14">
        <v>7227</v>
      </c>
    </row>
    <row r="21" spans="5:12" x14ac:dyDescent="0.3">
      <c r="E21" s="5" t="s">
        <v>284</v>
      </c>
      <c r="F21" s="20">
        <v>49</v>
      </c>
      <c r="K21" s="5" t="s">
        <v>190</v>
      </c>
      <c r="L21" s="14">
        <v>1660859</v>
      </c>
    </row>
    <row r="22" spans="5:12" x14ac:dyDescent="0.3">
      <c r="E22" s="5" t="s">
        <v>316</v>
      </c>
      <c r="F22" s="20">
        <v>49</v>
      </c>
      <c r="K22" s="13" t="s">
        <v>189</v>
      </c>
      <c r="L22" s="14">
        <v>1660859</v>
      </c>
    </row>
    <row r="23" spans="5:12" x14ac:dyDescent="0.3">
      <c r="E23" s="5" t="s">
        <v>318</v>
      </c>
      <c r="F23" s="20">
        <v>49</v>
      </c>
      <c r="K23" s="5" t="s">
        <v>289</v>
      </c>
      <c r="L23" s="14">
        <v>2381609</v>
      </c>
    </row>
    <row r="24" spans="5:12" x14ac:dyDescent="0.3">
      <c r="E24" s="5" t="s">
        <v>349</v>
      </c>
      <c r="F24" s="20">
        <v>49</v>
      </c>
      <c r="K24" s="13" t="s">
        <v>288</v>
      </c>
      <c r="L24" s="14">
        <v>59437</v>
      </c>
    </row>
    <row r="25" spans="5:12" x14ac:dyDescent="0.3">
      <c r="E25" s="5" t="s">
        <v>351</v>
      </c>
      <c r="F25" s="20">
        <v>49</v>
      </c>
      <c r="K25" s="13" t="s">
        <v>428</v>
      </c>
      <c r="L25" s="14">
        <v>2322172</v>
      </c>
    </row>
    <row r="26" spans="5:12" x14ac:dyDescent="0.3">
      <c r="E26" s="5" t="s">
        <v>368</v>
      </c>
      <c r="F26" s="20">
        <v>49</v>
      </c>
      <c r="K26" s="5" t="s">
        <v>568</v>
      </c>
      <c r="L26" s="14">
        <v>2284821</v>
      </c>
    </row>
    <row r="27" spans="5:12" x14ac:dyDescent="0.3">
      <c r="E27" s="5" t="s">
        <v>470</v>
      </c>
      <c r="F27" s="20">
        <v>49</v>
      </c>
      <c r="K27" s="13" t="s">
        <v>567</v>
      </c>
      <c r="L27" s="14">
        <v>2284821</v>
      </c>
    </row>
    <row r="28" spans="5:12" x14ac:dyDescent="0.3">
      <c r="E28" s="5" t="s">
        <v>481</v>
      </c>
      <c r="F28" s="20">
        <v>49</v>
      </c>
      <c r="K28" s="5" t="s">
        <v>436</v>
      </c>
      <c r="L28" s="14">
        <v>1986150</v>
      </c>
    </row>
    <row r="29" spans="5:12" x14ac:dyDescent="0.3">
      <c r="E29" s="5" t="s">
        <v>535</v>
      </c>
      <c r="F29" s="20">
        <v>49</v>
      </c>
      <c r="K29" s="13" t="s">
        <v>435</v>
      </c>
      <c r="L29" s="14">
        <v>1986150</v>
      </c>
    </row>
    <row r="30" spans="5:12" x14ac:dyDescent="0.3">
      <c r="E30" s="5" t="s">
        <v>539</v>
      </c>
      <c r="F30" s="20">
        <v>49</v>
      </c>
      <c r="K30" s="5" t="s">
        <v>88</v>
      </c>
      <c r="L30" s="14">
        <v>3368646</v>
      </c>
    </row>
    <row r="31" spans="5:12" x14ac:dyDescent="0.3">
      <c r="E31" s="5" t="s">
        <v>570</v>
      </c>
      <c r="F31" s="20">
        <v>49</v>
      </c>
      <c r="K31" s="13" t="s">
        <v>87</v>
      </c>
      <c r="L31" s="14">
        <v>746262</v>
      </c>
    </row>
    <row r="32" spans="5:12" x14ac:dyDescent="0.3">
      <c r="E32" s="5" t="s">
        <v>605</v>
      </c>
      <c r="F32" s="20">
        <v>49</v>
      </c>
      <c r="K32" s="13" t="s">
        <v>306</v>
      </c>
      <c r="L32" s="14">
        <v>641784</v>
      </c>
    </row>
    <row r="33" spans="5:12" x14ac:dyDescent="0.3">
      <c r="E33" s="5" t="s">
        <v>626</v>
      </c>
      <c r="F33" s="20">
        <v>49</v>
      </c>
      <c r="K33" s="13" t="s">
        <v>460</v>
      </c>
      <c r="L33" s="14">
        <v>449708</v>
      </c>
    </row>
    <row r="34" spans="5:12" x14ac:dyDescent="0.3">
      <c r="K34" s="13" t="s">
        <v>461</v>
      </c>
      <c r="L34" s="14">
        <v>513952</v>
      </c>
    </row>
    <row r="35" spans="5:12" x14ac:dyDescent="0.3">
      <c r="K35" s="13" t="s">
        <v>462</v>
      </c>
      <c r="L35" s="14">
        <v>1016940</v>
      </c>
    </row>
    <row r="36" spans="5:12" x14ac:dyDescent="0.3">
      <c r="K36" s="5" t="s">
        <v>626</v>
      </c>
      <c r="L36" s="14">
        <v>22488543</v>
      </c>
    </row>
  </sheetData>
  <pageMargins left="0.7" right="0.7" top="0.75" bottom="0.75" header="0.3" footer="0.3"/>
  <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3EC1E-E274-411D-8AE6-91F3664A6166}">
  <dimension ref="D5:I9"/>
  <sheetViews>
    <sheetView showGridLines="0" tabSelected="1" zoomScale="70" zoomScaleNormal="70" workbookViewId="0">
      <selection activeCell="D26" sqref="D26"/>
    </sheetView>
  </sheetViews>
  <sheetFormatPr baseColWidth="10" defaultRowHeight="14.4" x14ac:dyDescent="0.3"/>
  <cols>
    <col min="1" max="3" width="11.5546875" style="9"/>
    <col min="4" max="4" width="35.109375" style="9" customWidth="1"/>
    <col min="5" max="5" width="31" style="9" customWidth="1"/>
    <col min="6" max="16384" width="11.5546875" style="9"/>
  </cols>
  <sheetData>
    <row r="5" spans="4:9" ht="28.8" x14ac:dyDescent="0.55000000000000004">
      <c r="D5" s="18"/>
      <c r="F5" s="15"/>
      <c r="I5" s="17"/>
    </row>
    <row r="6" spans="4:9" x14ac:dyDescent="0.3">
      <c r="F6" s="16"/>
    </row>
    <row r="9" spans="4:9" ht="25.8" x14ac:dyDescent="0.5">
      <c r="D9" s="19"/>
    </row>
  </sheetData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5D500F-7243-4F11-86C2-6237E01CE8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2</vt:i4>
      </vt:variant>
    </vt:vector>
  </HeadingPairs>
  <TitlesOfParts>
    <vt:vector size="8" baseType="lpstr">
      <vt:lpstr>bestsellers with categories</vt:lpstr>
      <vt:lpstr>Análisis descriptivo Price</vt:lpstr>
      <vt:lpstr>Fiction vs Non Fiction</vt:lpstr>
      <vt:lpstr>Tablas dinámicas</vt:lpstr>
      <vt:lpstr>Tablas dinámicas insights</vt:lpstr>
      <vt:lpstr>Dashboard</vt:lpstr>
      <vt:lpstr>CantidadReviews</vt:lpstr>
      <vt:lpstr>Media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 BOSCO</dc:creator>
  <cp:lastModifiedBy>DON BOSCO</cp:lastModifiedBy>
  <dcterms:created xsi:type="dcterms:W3CDTF">2025-11-10T19:10:52Z</dcterms:created>
  <dcterms:modified xsi:type="dcterms:W3CDTF">2025-11-13T12:00:49Z</dcterms:modified>
</cp:coreProperties>
</file>